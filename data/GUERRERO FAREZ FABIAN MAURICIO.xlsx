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b46dfa81f22ac10b/Documentos/"/>
    </mc:Choice>
  </mc:AlternateContent>
  <xr:revisionPtr revIDLastSave="0" documentId="8_{793F8E2A-B44B-446A-97DC-4BC0AA60AC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VENTAS POR GRUPO" sheetId="1" r:id="rId1"/>
    <sheet name="VENTA MENSUAL" sheetId="2" r:id="rId2"/>
    <sheet name="CUMPLIMIENTO MENSUA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6" i="1" l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C56" i="1"/>
  <c r="S56" i="1" l="1"/>
  <c r="C57" i="1" s="1"/>
</calcChain>
</file>

<file path=xl/sharedStrings.xml><?xml version="1.0" encoding="utf-8"?>
<sst xmlns="http://schemas.openxmlformats.org/spreadsheetml/2006/main" count="295" uniqueCount="85">
  <si>
    <t>ASESOR</t>
  </si>
  <si>
    <t>CLIENTE</t>
  </si>
  <si>
    <t>240X120 PORCELANATO</t>
  </si>
  <si>
    <t>240X80 PORCELANATO</t>
  </si>
  <si>
    <t>FREGADEROS DE COCINA</t>
  </si>
  <si>
    <t>GRANITO</t>
  </si>
  <si>
    <t>GRIFERIAS</t>
  </si>
  <si>
    <t>INODOROS</t>
  </si>
  <si>
    <t>LAVABOS</t>
  </si>
  <si>
    <t>LED</t>
  </si>
  <si>
    <t>PANELES DECORATIVOS</t>
  </si>
  <si>
    <t>PIEDRA SINTERIZADA</t>
  </si>
  <si>
    <t>PORCELANATO</t>
  </si>
  <si>
    <t>PUERTAS DE SEGURIDAD</t>
  </si>
  <si>
    <t>SAL SOLUBLE</t>
  </si>
  <si>
    <t>NO RESURTIBLES</t>
  </si>
  <si>
    <t>PANELES PVC</t>
  </si>
  <si>
    <t>PANELES PU</t>
  </si>
  <si>
    <t>GUERRERO FAREZ FABIAN MAURICIO</t>
  </si>
  <si>
    <t>AGUILAR &amp; REYES</t>
  </si>
  <si>
    <t>AGUILAR LEON ERICA DEL CISNE</t>
  </si>
  <si>
    <t>AGUILAR REYES CESAR VINICIO</t>
  </si>
  <si>
    <t>AGUIMPORT-AGUILAR IMPORTACIONES S.A.S.</t>
  </si>
  <si>
    <t>ALVARADO HURTADO ESTRELLA MARILU</t>
  </si>
  <si>
    <t>APOLO CHAMBA KATHERINE YUELISE</t>
  </si>
  <si>
    <t>ARMIJOS AMBROSI LUIS KLEBER</t>
  </si>
  <si>
    <t>ASTUDILLO ESPINOZA JOSE MANUEL</t>
  </si>
  <si>
    <t>AVILA GARCIA CARMEN ROSARIO</t>
  </si>
  <si>
    <t>BUELE MORENO JOSELITO ROYERS</t>
  </si>
  <si>
    <t>BUSTAMANTE ROSERO MARCO TULIO</t>
  </si>
  <si>
    <t>CABRERA VALVERDE ANAHI FERNANDA</t>
  </si>
  <si>
    <t>CERAMIKASA S.A.S.</t>
  </si>
  <si>
    <t>CONSORCIO MUELLE CENTRO DE ARTE</t>
  </si>
  <si>
    <t>DECOGARCIA S.A.S.</t>
  </si>
  <si>
    <t>DECORPISOS CIA. LTDA</t>
  </si>
  <si>
    <t>ENCARNACION ERAS KATTY ELIZABETH</t>
  </si>
  <si>
    <t>FADESE C LTDA</t>
  </si>
  <si>
    <t>FAREZ ARCINIEGA DIANA FRANCISCA</t>
  </si>
  <si>
    <t>FEIJOO FEIJOO CRISTOPHER ANDRE</t>
  </si>
  <si>
    <t>FEIJOO MARIN MAURICIO ENRIQUE</t>
  </si>
  <si>
    <t>GARCIA YEPEZ MARIA ISABEL</t>
  </si>
  <si>
    <t>ILLINGWORTH VILLA ALLAN FRANCISCO</t>
  </si>
  <si>
    <t>IMPORT NOVUM MADE S.A.S.</t>
  </si>
  <si>
    <t>LATACELA ZUÑIGA JUAN FERNANDO</t>
  </si>
  <si>
    <t>MADECOR-HOME CENTER S.A.S.</t>
  </si>
  <si>
    <t>MARQUEZ CELI ALFREDO NICANOR</t>
  </si>
  <si>
    <t>MATUTE GUANOLIQUE DOLORES MATILDE</t>
  </si>
  <si>
    <t>MEGAUNIMAC CIA.LTDA.</t>
  </si>
  <si>
    <t>MILROMER SA</t>
  </si>
  <si>
    <t>MONTESDEOCA ROBLES MARIA HILDA</t>
  </si>
  <si>
    <t>OCHOA CUEVA LUIS DAVID</t>
  </si>
  <si>
    <t>ORTEGA ROMAN KLEBER ERWIN</t>
  </si>
  <si>
    <t>ORTEGA ROMAN LUIS FERNANDO</t>
  </si>
  <si>
    <t>PACHECO NIVICELA DORIS PRICILA</t>
  </si>
  <si>
    <t>PACHECO NIVICELA SANDRA ELISABETH</t>
  </si>
  <si>
    <t>PAUTA ASTUDILLO JULIO HERNAN</t>
  </si>
  <si>
    <t>PEREZ ROSALES EDGAR RICARDO</t>
  </si>
  <si>
    <t>PEÑALOZA LOPEZ RONALD STALIN</t>
  </si>
  <si>
    <t>QUEZADA VEGA JAIME PATRICIO</t>
  </si>
  <si>
    <t>QUINCHE ALCIVAR ARGENTINA DEL ROCIO</t>
  </si>
  <si>
    <t>RAMIREZ APOLO JOBANI DE JESUS</t>
  </si>
  <si>
    <t>REYES MOSCOSO NARCISA DE JESUS</t>
  </si>
  <si>
    <t>ROJAS SANCHEZ LADY MARGOT</t>
  </si>
  <si>
    <t>ROMERO RODAS SILVIA MARELIS</t>
  </si>
  <si>
    <t>RUIZ TINIZARAY YOHANNA MARYURI</t>
  </si>
  <si>
    <t>SALAS NOBLECILLA MARIA SUSANA</t>
  </si>
  <si>
    <t>SALDARRIAGA ECHEVERRIA BRYAN STEVEN</t>
  </si>
  <si>
    <t>SOLANO DE LA SALA PAZ GONZALO PATRICIO</t>
  </si>
  <si>
    <t>TORO BLACIO MARIA DEL CISNE</t>
  </si>
  <si>
    <t>WONG SANCHEZ CLAUDIA PAULINA</t>
  </si>
  <si>
    <t>WONG SANCHEZ PAULA SOFIA</t>
  </si>
  <si>
    <t>ZUÑIGA CORONEL MARCIA LUZMILA</t>
  </si>
  <si>
    <t>0 de 53</t>
  </si>
  <si>
    <t>julio</t>
  </si>
  <si>
    <t>agosto</t>
  </si>
  <si>
    <t>septiembre</t>
  </si>
  <si>
    <t>octubre</t>
  </si>
  <si>
    <t>PRESUPUESTO</t>
  </si>
  <si>
    <t>GRUPO</t>
  </si>
  <si>
    <t>VENTA</t>
  </si>
  <si>
    <t>POR CUMPLIR</t>
  </si>
  <si>
    <t>CUMPLIMIENTO</t>
  </si>
  <si>
    <t>OTROS</t>
  </si>
  <si>
    <t>TOTAL</t>
  </si>
  <si>
    <t>Çç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</si>
</sst>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1"/>
  <sheetViews>
    <sheetView tabSelected="1" workbookViewId="0">
      <pane ySplit="1" topLeftCell="A31" activePane="bottomLeft" state="frozen"/>
      <selection pane="bottomLeft" activeCell="A56" sqref="A56"/>
    </sheetView>
  </sheetViews>
  <sheetFormatPr baseColWidth="10" defaultColWidth="8.88671875" defaultRowHeight="14.4" x14ac:dyDescent="0.3"/>
  <cols>
    <col min="1" max="1" width="32" customWidth="1"/>
    <col min="2" max="2" width="40" customWidth="1"/>
    <col min="3" max="3" width="25" customWidth="1"/>
    <col min="4" max="4" width="24" customWidth="1"/>
    <col min="5" max="5" width="26" customWidth="1"/>
    <col min="6" max="6" width="13" customWidth="1"/>
    <col min="7" max="7" width="15" customWidth="1"/>
    <col min="8" max="8" width="14" customWidth="1"/>
    <col min="9" max="9" width="13" customWidth="1"/>
    <col min="10" max="10" width="9" customWidth="1"/>
    <col min="11" max="11" width="25" customWidth="1"/>
    <col min="12" max="12" width="24" customWidth="1"/>
    <col min="13" max="13" width="17" customWidth="1"/>
    <col min="14" max="14" width="26" customWidth="1"/>
    <col min="15" max="15" width="17" customWidth="1"/>
    <col min="16" max="16" width="20" customWidth="1"/>
    <col min="17" max="17" width="17" customWidth="1"/>
    <col min="18" max="18" width="16" customWidth="1"/>
    <col min="19" max="19" width="11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9" x14ac:dyDescent="0.3">
      <c r="A2" t="s">
        <v>18</v>
      </c>
      <c r="B2" t="s">
        <v>19</v>
      </c>
      <c r="C2" s="2"/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/>
    </row>
    <row r="3" spans="1:19" x14ac:dyDescent="0.3">
      <c r="A3" t="s">
        <v>18</v>
      </c>
      <c r="B3" t="s">
        <v>20</v>
      </c>
      <c r="C3" s="2">
        <v>480</v>
      </c>
      <c r="D3" s="2">
        <v>480</v>
      </c>
      <c r="E3" s="2">
        <v>100</v>
      </c>
      <c r="F3" s="2">
        <v>0</v>
      </c>
      <c r="G3" s="2">
        <v>0</v>
      </c>
      <c r="H3" s="2">
        <v>0</v>
      </c>
      <c r="I3" s="2">
        <v>200</v>
      </c>
      <c r="J3" s="2">
        <v>0</v>
      </c>
      <c r="K3" s="2">
        <v>0</v>
      </c>
      <c r="L3" s="2">
        <v>0</v>
      </c>
      <c r="M3" s="2">
        <v>500</v>
      </c>
      <c r="N3" s="2">
        <v>0</v>
      </c>
      <c r="O3" s="2">
        <v>0</v>
      </c>
      <c r="P3" s="2">
        <v>0</v>
      </c>
      <c r="Q3" s="2">
        <v>0</v>
      </c>
      <c r="R3" s="2">
        <v>0</v>
      </c>
    </row>
    <row r="4" spans="1:19" x14ac:dyDescent="0.3">
      <c r="A4" t="s">
        <v>18</v>
      </c>
      <c r="B4" t="s">
        <v>21</v>
      </c>
      <c r="C4" s="2">
        <v>1200</v>
      </c>
      <c r="D4" s="2">
        <v>500</v>
      </c>
      <c r="E4" s="2">
        <v>300</v>
      </c>
      <c r="F4" s="2">
        <v>0</v>
      </c>
      <c r="G4" s="2">
        <v>0</v>
      </c>
      <c r="H4" s="2">
        <v>0</v>
      </c>
      <c r="I4" s="2">
        <v>200</v>
      </c>
      <c r="J4" s="2">
        <v>0</v>
      </c>
      <c r="K4" s="2">
        <v>0</v>
      </c>
      <c r="L4" s="2">
        <v>1000</v>
      </c>
      <c r="M4" s="2">
        <v>5000</v>
      </c>
      <c r="N4" s="2">
        <v>400</v>
      </c>
      <c r="O4" s="2">
        <v>0</v>
      </c>
      <c r="P4" s="2">
        <v>0</v>
      </c>
      <c r="Q4" s="2">
        <v>0</v>
      </c>
      <c r="R4" s="2">
        <v>0</v>
      </c>
    </row>
    <row r="5" spans="1:19" x14ac:dyDescent="0.3">
      <c r="A5" t="s">
        <v>18</v>
      </c>
      <c r="B5" t="s">
        <v>22</v>
      </c>
      <c r="C5" s="2">
        <v>0</v>
      </c>
      <c r="D5" s="2">
        <v>1000</v>
      </c>
      <c r="E5" s="2">
        <v>0</v>
      </c>
      <c r="F5" s="2">
        <v>0</v>
      </c>
      <c r="G5" s="2">
        <v>0</v>
      </c>
      <c r="H5" s="2">
        <v>0</v>
      </c>
      <c r="I5" s="2">
        <v>200</v>
      </c>
      <c r="J5" s="2">
        <v>0</v>
      </c>
      <c r="K5" s="2">
        <v>300</v>
      </c>
      <c r="L5" s="2">
        <v>1000</v>
      </c>
      <c r="M5" s="2">
        <v>3000</v>
      </c>
      <c r="N5" s="2">
        <v>0</v>
      </c>
      <c r="O5" s="2">
        <v>0</v>
      </c>
      <c r="P5" s="2">
        <v>0</v>
      </c>
      <c r="Q5" s="2">
        <v>0</v>
      </c>
      <c r="R5" s="2">
        <v>0</v>
      </c>
    </row>
    <row r="6" spans="1:19" x14ac:dyDescent="0.3">
      <c r="A6" t="s">
        <v>18</v>
      </c>
      <c r="B6" t="s">
        <v>23</v>
      </c>
      <c r="C6" s="2">
        <v>0</v>
      </c>
      <c r="D6" s="2">
        <v>0</v>
      </c>
      <c r="E6" s="2">
        <v>100</v>
      </c>
      <c r="F6" s="2">
        <v>0</v>
      </c>
      <c r="G6" s="2">
        <v>0</v>
      </c>
      <c r="H6" s="2">
        <v>200</v>
      </c>
      <c r="I6" s="2">
        <v>100</v>
      </c>
      <c r="J6" s="2">
        <v>0</v>
      </c>
      <c r="K6" s="2">
        <v>0</v>
      </c>
      <c r="L6" s="2">
        <v>0</v>
      </c>
      <c r="M6" s="2">
        <v>1000</v>
      </c>
      <c r="N6" s="2">
        <v>0</v>
      </c>
      <c r="O6" s="2">
        <v>0</v>
      </c>
      <c r="P6" s="2">
        <v>0</v>
      </c>
      <c r="Q6" s="2">
        <v>0</v>
      </c>
      <c r="R6" s="2">
        <v>0</v>
      </c>
    </row>
    <row r="7" spans="1:19" x14ac:dyDescent="0.3">
      <c r="A7" t="s">
        <v>18</v>
      </c>
      <c r="B7" t="s">
        <v>24</v>
      </c>
      <c r="C7" s="2">
        <v>0</v>
      </c>
      <c r="D7" s="2">
        <v>500</v>
      </c>
      <c r="E7" s="2">
        <v>100</v>
      </c>
      <c r="F7" s="2">
        <v>0</v>
      </c>
      <c r="G7" s="2">
        <v>0</v>
      </c>
      <c r="H7" s="2">
        <v>200</v>
      </c>
      <c r="I7" s="2">
        <v>200</v>
      </c>
      <c r="J7" s="2">
        <v>0</v>
      </c>
      <c r="K7" s="2">
        <v>0</v>
      </c>
      <c r="L7" s="2">
        <v>0</v>
      </c>
      <c r="M7" s="2">
        <v>1000</v>
      </c>
      <c r="N7" s="2">
        <v>0</v>
      </c>
      <c r="O7" s="2">
        <v>0</v>
      </c>
      <c r="P7" s="2">
        <v>0</v>
      </c>
      <c r="Q7" s="2">
        <v>0</v>
      </c>
      <c r="R7" s="2">
        <v>0</v>
      </c>
    </row>
    <row r="8" spans="1:19" x14ac:dyDescent="0.3">
      <c r="A8" t="s">
        <v>18</v>
      </c>
      <c r="B8" t="s">
        <v>25</v>
      </c>
      <c r="C8" s="2">
        <v>0</v>
      </c>
      <c r="D8" s="2">
        <v>520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300</v>
      </c>
      <c r="L8" s="2">
        <v>0</v>
      </c>
      <c r="M8" s="2">
        <v>500</v>
      </c>
      <c r="N8" s="2">
        <v>0</v>
      </c>
      <c r="O8" s="2">
        <v>0</v>
      </c>
      <c r="P8" s="2">
        <v>0</v>
      </c>
      <c r="Q8" s="2">
        <v>0</v>
      </c>
      <c r="R8" s="2">
        <v>0</v>
      </c>
    </row>
    <row r="9" spans="1:19" x14ac:dyDescent="0.3">
      <c r="A9" t="s">
        <v>18</v>
      </c>
      <c r="B9" t="s">
        <v>26</v>
      </c>
      <c r="C9" s="2">
        <v>0</v>
      </c>
      <c r="D9" s="2">
        <v>500</v>
      </c>
      <c r="E9" s="2">
        <v>100</v>
      </c>
      <c r="F9" s="2">
        <v>0</v>
      </c>
      <c r="G9" s="2">
        <v>0</v>
      </c>
      <c r="H9" s="2">
        <v>0</v>
      </c>
      <c r="I9" s="2">
        <v>200</v>
      </c>
      <c r="J9" s="2">
        <v>0</v>
      </c>
      <c r="K9" s="2">
        <v>0</v>
      </c>
      <c r="L9" s="2">
        <v>0</v>
      </c>
      <c r="M9" s="2">
        <v>500</v>
      </c>
      <c r="N9" s="2">
        <v>0</v>
      </c>
      <c r="O9" s="2">
        <v>0</v>
      </c>
      <c r="P9" s="2">
        <v>0</v>
      </c>
      <c r="Q9" s="2">
        <v>0</v>
      </c>
      <c r="R9" s="2">
        <v>0</v>
      </c>
    </row>
    <row r="10" spans="1:19" x14ac:dyDescent="0.3">
      <c r="A10" t="s">
        <v>18</v>
      </c>
      <c r="B10" t="s">
        <v>27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600</v>
      </c>
      <c r="I10" s="2">
        <v>200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300</v>
      </c>
      <c r="R10" s="2">
        <v>0</v>
      </c>
    </row>
    <row r="11" spans="1:19" x14ac:dyDescent="0.3">
      <c r="A11" t="s">
        <v>18</v>
      </c>
      <c r="B11" t="s">
        <v>28</v>
      </c>
      <c r="C11" s="2">
        <v>0</v>
      </c>
      <c r="D11" s="2">
        <v>500</v>
      </c>
      <c r="E11" s="2">
        <v>0</v>
      </c>
      <c r="F11" s="2">
        <v>0</v>
      </c>
      <c r="G11" s="2">
        <v>0</v>
      </c>
      <c r="H11" s="2">
        <v>0</v>
      </c>
      <c r="I11" s="2">
        <v>100</v>
      </c>
      <c r="J11" s="2">
        <v>0</v>
      </c>
      <c r="K11" s="2">
        <v>0</v>
      </c>
      <c r="L11" s="2">
        <v>0</v>
      </c>
      <c r="M11" s="2">
        <v>1000</v>
      </c>
      <c r="N11" s="2">
        <v>0</v>
      </c>
      <c r="O11" s="2">
        <v>1000</v>
      </c>
      <c r="P11" s="2">
        <v>0</v>
      </c>
      <c r="Q11" s="2">
        <v>500</v>
      </c>
      <c r="R11" s="2">
        <v>0</v>
      </c>
    </row>
    <row r="12" spans="1:19" x14ac:dyDescent="0.3">
      <c r="A12" t="s">
        <v>18</v>
      </c>
      <c r="B12" t="s">
        <v>29</v>
      </c>
      <c r="C12" s="2">
        <v>0</v>
      </c>
      <c r="D12" s="2">
        <v>500</v>
      </c>
      <c r="E12" s="2">
        <v>0</v>
      </c>
      <c r="F12" s="2">
        <v>0</v>
      </c>
      <c r="G12" s="2">
        <v>0</v>
      </c>
      <c r="H12" s="2">
        <v>0</v>
      </c>
      <c r="I12" s="2">
        <v>200</v>
      </c>
      <c r="J12" s="2">
        <v>0</v>
      </c>
      <c r="K12" s="2">
        <v>0</v>
      </c>
      <c r="L12" s="2">
        <v>1000</v>
      </c>
      <c r="M12" s="2">
        <v>1500</v>
      </c>
      <c r="N12" s="2">
        <v>0</v>
      </c>
      <c r="O12" s="2">
        <v>1000</v>
      </c>
      <c r="P12" s="2">
        <v>0</v>
      </c>
      <c r="Q12" s="2">
        <v>1500</v>
      </c>
      <c r="R12" s="2">
        <v>0</v>
      </c>
    </row>
    <row r="13" spans="1:19" x14ac:dyDescent="0.3">
      <c r="A13" t="s">
        <v>18</v>
      </c>
      <c r="B13" t="s">
        <v>30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</row>
    <row r="14" spans="1:19" x14ac:dyDescent="0.3">
      <c r="A14" t="s">
        <v>18</v>
      </c>
      <c r="B14" t="s">
        <v>31</v>
      </c>
      <c r="C14" s="2">
        <v>500</v>
      </c>
      <c r="D14" s="2">
        <v>500</v>
      </c>
      <c r="E14" s="2">
        <v>100</v>
      </c>
      <c r="F14" s="2">
        <v>0</v>
      </c>
      <c r="G14" s="2">
        <v>0</v>
      </c>
      <c r="H14" s="2">
        <v>0</v>
      </c>
      <c r="I14" s="2">
        <v>200</v>
      </c>
      <c r="J14" s="2">
        <v>0</v>
      </c>
      <c r="K14" s="2">
        <v>500</v>
      </c>
      <c r="L14" s="2">
        <v>1000</v>
      </c>
      <c r="M14" s="2">
        <v>3000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</row>
    <row r="15" spans="1:19" x14ac:dyDescent="0.3">
      <c r="A15" t="s">
        <v>18</v>
      </c>
      <c r="B15" t="s">
        <v>32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500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</row>
    <row r="16" spans="1:19" x14ac:dyDescent="0.3">
      <c r="A16" t="s">
        <v>18</v>
      </c>
      <c r="B16" t="s">
        <v>33</v>
      </c>
      <c r="C16" s="2">
        <v>0</v>
      </c>
      <c r="D16" s="2">
        <v>0</v>
      </c>
      <c r="E16" s="2">
        <v>200</v>
      </c>
      <c r="F16" s="2">
        <v>0</v>
      </c>
      <c r="G16" s="2">
        <v>0</v>
      </c>
      <c r="H16" s="2">
        <v>1000</v>
      </c>
      <c r="I16" s="2">
        <v>100</v>
      </c>
      <c r="J16" s="2">
        <v>0</v>
      </c>
      <c r="K16" s="2">
        <v>500</v>
      </c>
      <c r="L16" s="2">
        <v>0</v>
      </c>
      <c r="M16" s="2">
        <v>1500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</row>
    <row r="17" spans="1:18" x14ac:dyDescent="0.3">
      <c r="A17" t="s">
        <v>18</v>
      </c>
      <c r="B17" t="s">
        <v>34</v>
      </c>
      <c r="C17" s="2">
        <v>0</v>
      </c>
      <c r="D17" s="2"/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1000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</row>
    <row r="18" spans="1:18" x14ac:dyDescent="0.3">
      <c r="A18" t="s">
        <v>18</v>
      </c>
      <c r="B18" t="s">
        <v>35</v>
      </c>
      <c r="C18" s="2">
        <v>0</v>
      </c>
      <c r="D18" s="2">
        <v>0</v>
      </c>
      <c r="E18" s="2">
        <v>100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</row>
    <row r="19" spans="1:18" x14ac:dyDescent="0.3">
      <c r="A19" t="s">
        <v>18</v>
      </c>
      <c r="B19" t="s">
        <v>36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</row>
    <row r="20" spans="1:18" x14ac:dyDescent="0.3">
      <c r="A20" t="s">
        <v>18</v>
      </c>
      <c r="B20" t="s">
        <v>37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</row>
    <row r="21" spans="1:18" x14ac:dyDescent="0.3">
      <c r="A21" t="s">
        <v>18</v>
      </c>
      <c r="B21" t="s">
        <v>38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100</v>
      </c>
      <c r="J21" s="2">
        <v>0</v>
      </c>
      <c r="K21" s="2">
        <v>0</v>
      </c>
      <c r="L21" s="2">
        <v>0</v>
      </c>
      <c r="M21" s="2">
        <v>1000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</row>
    <row r="22" spans="1:18" x14ac:dyDescent="0.3">
      <c r="A22" t="s">
        <v>18</v>
      </c>
      <c r="B22" t="s">
        <v>39</v>
      </c>
      <c r="C22" s="2">
        <v>1000</v>
      </c>
      <c r="D22" s="2">
        <v>1500</v>
      </c>
      <c r="E22" s="2">
        <v>0</v>
      </c>
      <c r="F22" s="2">
        <v>0</v>
      </c>
      <c r="G22" s="2">
        <v>0</v>
      </c>
      <c r="H22" s="2">
        <v>0</v>
      </c>
      <c r="I22" s="2">
        <v>200</v>
      </c>
      <c r="J22" s="2">
        <v>0</v>
      </c>
      <c r="K22" s="2">
        <v>300</v>
      </c>
      <c r="L22" s="2">
        <v>1000</v>
      </c>
      <c r="M22" s="2">
        <v>5000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</row>
    <row r="23" spans="1:18" x14ac:dyDescent="0.3">
      <c r="A23" t="s">
        <v>18</v>
      </c>
      <c r="B23" t="s">
        <v>40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100</v>
      </c>
      <c r="J23" s="2">
        <v>0</v>
      </c>
      <c r="K23" s="2">
        <v>200</v>
      </c>
      <c r="L23" s="2">
        <v>0</v>
      </c>
      <c r="M23" s="2">
        <v>500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</row>
    <row r="24" spans="1:18" x14ac:dyDescent="0.3">
      <c r="A24" t="s">
        <v>18</v>
      </c>
      <c r="B24" t="s">
        <v>41</v>
      </c>
      <c r="C24" s="2">
        <v>0</v>
      </c>
      <c r="D24" s="2">
        <v>0</v>
      </c>
      <c r="E24" s="2">
        <v>100</v>
      </c>
      <c r="F24" s="2">
        <v>0</v>
      </c>
      <c r="G24" s="2">
        <v>0</v>
      </c>
      <c r="H24" s="2">
        <v>500</v>
      </c>
      <c r="I24" s="2">
        <v>200</v>
      </c>
      <c r="J24" s="2">
        <v>0</v>
      </c>
      <c r="K24" s="2">
        <v>0</v>
      </c>
      <c r="L24" s="2">
        <v>0</v>
      </c>
      <c r="M24" s="2">
        <v>500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</row>
    <row r="25" spans="1:18" x14ac:dyDescent="0.3">
      <c r="A25" t="s">
        <v>18</v>
      </c>
      <c r="B25" t="s">
        <v>42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</row>
    <row r="26" spans="1:18" x14ac:dyDescent="0.3">
      <c r="A26" t="s">
        <v>18</v>
      </c>
      <c r="B26" t="s">
        <v>43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200</v>
      </c>
      <c r="J26" s="2">
        <v>0</v>
      </c>
      <c r="K26" s="2">
        <v>300</v>
      </c>
      <c r="L26" s="2">
        <v>0</v>
      </c>
      <c r="M26" s="2">
        <v>2000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</row>
    <row r="27" spans="1:18" x14ac:dyDescent="0.3">
      <c r="A27" t="s">
        <v>18</v>
      </c>
      <c r="B27" t="s">
        <v>44</v>
      </c>
      <c r="C27" s="2">
        <v>500</v>
      </c>
      <c r="D27" s="2">
        <v>600</v>
      </c>
      <c r="E27" s="2">
        <v>0</v>
      </c>
      <c r="F27" s="2">
        <v>0</v>
      </c>
      <c r="G27" s="2">
        <v>0</v>
      </c>
      <c r="H27" s="2">
        <v>500</v>
      </c>
      <c r="I27" s="2">
        <v>200</v>
      </c>
      <c r="J27" s="2">
        <v>0</v>
      </c>
      <c r="K27" s="2">
        <v>500</v>
      </c>
      <c r="L27" s="2">
        <v>500</v>
      </c>
      <c r="M27" s="2">
        <v>3000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</row>
    <row r="28" spans="1:18" x14ac:dyDescent="0.3">
      <c r="A28" t="s">
        <v>18</v>
      </c>
      <c r="B28" t="s">
        <v>45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500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</row>
    <row r="29" spans="1:18" x14ac:dyDescent="0.3">
      <c r="A29" t="s">
        <v>18</v>
      </c>
      <c r="B29" t="s">
        <v>46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100</v>
      </c>
      <c r="J29" s="2">
        <v>0</v>
      </c>
      <c r="K29" s="2">
        <v>0</v>
      </c>
      <c r="L29" s="2">
        <v>0</v>
      </c>
      <c r="M29" s="2">
        <v>1000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</row>
    <row r="30" spans="1:18" x14ac:dyDescent="0.3">
      <c r="A30" t="s">
        <v>18</v>
      </c>
      <c r="B30" t="s">
        <v>47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500</v>
      </c>
      <c r="L30" s="2">
        <v>1000</v>
      </c>
      <c r="M30" s="2">
        <v>2000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</row>
    <row r="31" spans="1:18" x14ac:dyDescent="0.3">
      <c r="A31" t="s">
        <v>18</v>
      </c>
      <c r="B31" t="s">
        <v>48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</row>
    <row r="32" spans="1:18" x14ac:dyDescent="0.3">
      <c r="A32" t="s">
        <v>18</v>
      </c>
      <c r="B32" t="s">
        <v>49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</row>
    <row r="33" spans="1:18" x14ac:dyDescent="0.3">
      <c r="A33" t="s">
        <v>18</v>
      </c>
      <c r="B33" t="s">
        <v>50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</row>
    <row r="34" spans="1:18" x14ac:dyDescent="0.3">
      <c r="A34" t="s">
        <v>18</v>
      </c>
      <c r="B34" t="s">
        <v>51</v>
      </c>
      <c r="C34" s="2">
        <v>600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200</v>
      </c>
      <c r="J34" s="2">
        <v>0</v>
      </c>
      <c r="K34" s="2">
        <v>1000</v>
      </c>
      <c r="L34" s="2">
        <v>3000</v>
      </c>
      <c r="M34" s="2">
        <v>5000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</row>
    <row r="35" spans="1:18" x14ac:dyDescent="0.3">
      <c r="A35" t="s">
        <v>18</v>
      </c>
      <c r="B35" t="s">
        <v>52</v>
      </c>
      <c r="C35" s="2">
        <v>0</v>
      </c>
      <c r="D35" s="2">
        <v>1000</v>
      </c>
      <c r="E35" s="2">
        <v>0</v>
      </c>
      <c r="F35" s="2">
        <v>0</v>
      </c>
      <c r="G35" s="2">
        <v>0</v>
      </c>
      <c r="H35" s="2">
        <v>0</v>
      </c>
      <c r="I35" s="2">
        <v>200</v>
      </c>
      <c r="J35" s="2">
        <v>0</v>
      </c>
      <c r="K35" s="2">
        <v>1000</v>
      </c>
      <c r="L35" s="2">
        <v>1000</v>
      </c>
      <c r="M35" s="2">
        <v>3000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</row>
    <row r="36" spans="1:18" x14ac:dyDescent="0.3">
      <c r="A36" t="s">
        <v>18</v>
      </c>
      <c r="B36" t="s">
        <v>53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</row>
    <row r="37" spans="1:18" x14ac:dyDescent="0.3">
      <c r="A37" t="s">
        <v>18</v>
      </c>
      <c r="B37" t="s">
        <v>54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</row>
    <row r="38" spans="1:18" x14ac:dyDescent="0.3">
      <c r="A38" t="s">
        <v>18</v>
      </c>
      <c r="B38" t="s">
        <v>55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</row>
    <row r="39" spans="1:18" x14ac:dyDescent="0.3">
      <c r="A39" t="s">
        <v>18</v>
      </c>
      <c r="B39" t="s">
        <v>56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</row>
    <row r="40" spans="1:18" x14ac:dyDescent="0.3">
      <c r="A40" t="s">
        <v>18</v>
      </c>
      <c r="B40" t="s">
        <v>57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1000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</row>
    <row r="41" spans="1:18" x14ac:dyDescent="0.3">
      <c r="A41" t="s">
        <v>18</v>
      </c>
      <c r="B41" t="s">
        <v>58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1000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</row>
    <row r="42" spans="1:18" x14ac:dyDescent="0.3">
      <c r="A42" t="s">
        <v>18</v>
      </c>
      <c r="B42" t="s">
        <v>59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</row>
    <row r="43" spans="1:18" x14ac:dyDescent="0.3">
      <c r="A43" t="s">
        <v>18</v>
      </c>
      <c r="B43" t="s">
        <v>60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</row>
    <row r="44" spans="1:18" x14ac:dyDescent="0.3">
      <c r="A44" t="s">
        <v>18</v>
      </c>
      <c r="B44" t="s">
        <v>61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</row>
    <row r="45" spans="1:18" x14ac:dyDescent="0.3">
      <c r="A45" t="s">
        <v>18</v>
      </c>
      <c r="B45" t="s">
        <v>62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1000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</row>
    <row r="46" spans="1:18" x14ac:dyDescent="0.3">
      <c r="A46" t="s">
        <v>18</v>
      </c>
      <c r="B46" t="s">
        <v>63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500</v>
      </c>
      <c r="I46" s="2">
        <v>300</v>
      </c>
      <c r="J46" s="2">
        <v>0</v>
      </c>
      <c r="K46" s="2">
        <v>300</v>
      </c>
      <c r="L46" s="2">
        <v>0</v>
      </c>
      <c r="M46" s="2">
        <v>1000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</row>
    <row r="47" spans="1:18" x14ac:dyDescent="0.3">
      <c r="A47" t="s">
        <v>18</v>
      </c>
      <c r="B47" t="s">
        <v>64</v>
      </c>
      <c r="C47" s="2">
        <v>0</v>
      </c>
      <c r="D47" s="2">
        <v>1000</v>
      </c>
      <c r="E47" s="2">
        <v>0</v>
      </c>
      <c r="F47" s="2">
        <v>0</v>
      </c>
      <c r="G47" s="2">
        <v>0</v>
      </c>
      <c r="H47" s="2">
        <v>0</v>
      </c>
      <c r="I47" s="2">
        <v>200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</row>
    <row r="48" spans="1:18" x14ac:dyDescent="0.3">
      <c r="A48" t="s">
        <v>18</v>
      </c>
      <c r="B48" t="s">
        <v>65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200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</row>
    <row r="49" spans="1:19" x14ac:dyDescent="0.3">
      <c r="A49" t="s">
        <v>18</v>
      </c>
      <c r="B49" t="s">
        <v>66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</row>
    <row r="50" spans="1:19" x14ac:dyDescent="0.3">
      <c r="A50" t="s">
        <v>18</v>
      </c>
      <c r="B50" t="s">
        <v>67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</row>
    <row r="51" spans="1:19" x14ac:dyDescent="0.3">
      <c r="A51" t="s">
        <v>18</v>
      </c>
      <c r="B51" t="s">
        <v>68</v>
      </c>
      <c r="C51" s="2">
        <v>0</v>
      </c>
      <c r="D51" s="2">
        <v>500</v>
      </c>
      <c r="E51" s="2">
        <v>100</v>
      </c>
      <c r="F51" s="2">
        <v>0</v>
      </c>
      <c r="G51" s="2">
        <v>0</v>
      </c>
      <c r="H51" s="2">
        <v>0</v>
      </c>
      <c r="I51" s="2">
        <v>200</v>
      </c>
      <c r="J51" s="2">
        <v>0</v>
      </c>
      <c r="K51" s="2">
        <v>200</v>
      </c>
      <c r="L51" s="2">
        <v>0</v>
      </c>
      <c r="M51" s="2">
        <v>500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</row>
    <row r="52" spans="1:19" x14ac:dyDescent="0.3">
      <c r="A52" t="s">
        <v>18</v>
      </c>
      <c r="B52" t="s">
        <v>69</v>
      </c>
      <c r="C52" s="2">
        <v>0</v>
      </c>
      <c r="D52" s="2">
        <v>500</v>
      </c>
      <c r="E52" s="2">
        <v>100</v>
      </c>
      <c r="F52" s="2">
        <v>0</v>
      </c>
      <c r="G52" s="2">
        <v>0</v>
      </c>
      <c r="H52" s="2">
        <v>0</v>
      </c>
      <c r="I52" s="2">
        <v>100</v>
      </c>
      <c r="J52" s="2">
        <v>0</v>
      </c>
      <c r="K52" s="2">
        <v>0</v>
      </c>
      <c r="L52" s="2">
        <v>0</v>
      </c>
      <c r="M52" s="2">
        <v>1000</v>
      </c>
      <c r="N52" s="2">
        <v>0</v>
      </c>
      <c r="O52" s="2">
        <v>-27.65</v>
      </c>
      <c r="P52" s="2">
        <v>0</v>
      </c>
      <c r="Q52" s="2">
        <v>0</v>
      </c>
      <c r="R52" s="2">
        <v>0</v>
      </c>
    </row>
    <row r="53" spans="1:19" x14ac:dyDescent="0.3">
      <c r="A53" t="s">
        <v>18</v>
      </c>
      <c r="B53" t="s">
        <v>70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</row>
    <row r="54" spans="1:19" x14ac:dyDescent="0.3">
      <c r="A54" t="s">
        <v>18</v>
      </c>
      <c r="B54" t="s">
        <v>71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</row>
    <row r="55" spans="1:19" x14ac:dyDescent="0.3">
      <c r="C55" s="4" t="s">
        <v>72</v>
      </c>
      <c r="D55" s="4" t="s">
        <v>72</v>
      </c>
      <c r="E55" s="4" t="s">
        <v>72</v>
      </c>
      <c r="F55" s="4" t="s">
        <v>72</v>
      </c>
      <c r="G55" s="4" t="s">
        <v>72</v>
      </c>
      <c r="H55" s="4" t="s">
        <v>72</v>
      </c>
      <c r="I55" s="4" t="s">
        <v>72</v>
      </c>
      <c r="J55" s="4" t="s">
        <v>72</v>
      </c>
      <c r="K55" s="4" t="s">
        <v>72</v>
      </c>
      <c r="L55" s="4" t="s">
        <v>72</v>
      </c>
      <c r="M55" s="4" t="s">
        <v>72</v>
      </c>
      <c r="N55" s="4" t="s">
        <v>72</v>
      </c>
      <c r="O55" s="4" t="s">
        <v>72</v>
      </c>
      <c r="P55" s="4" t="s">
        <v>72</v>
      </c>
      <c r="Q55" s="4" t="s">
        <v>72</v>
      </c>
      <c r="R55" s="4" t="s">
        <v>72</v>
      </c>
    </row>
    <row r="56" spans="1:19" x14ac:dyDescent="0.3">
      <c r="C56" s="2">
        <f>SUM(C2:C55)</f>
        <v>4280</v>
      </c>
      <c r="D56" s="2">
        <f t="shared" ref="D56:R56" si="0">SUM(D2:D55)</f>
        <v>10100</v>
      </c>
      <c r="E56" s="2">
        <f t="shared" si="0"/>
        <v>1400</v>
      </c>
      <c r="F56" s="2">
        <f t="shared" si="0"/>
        <v>0</v>
      </c>
      <c r="G56" s="2">
        <f t="shared" si="0"/>
        <v>0</v>
      </c>
      <c r="H56" s="2">
        <f t="shared" si="0"/>
        <v>3500</v>
      </c>
      <c r="I56" s="2">
        <f t="shared" si="0"/>
        <v>4200</v>
      </c>
      <c r="J56" s="2">
        <f t="shared" si="0"/>
        <v>0</v>
      </c>
      <c r="K56" s="2">
        <f t="shared" si="0"/>
        <v>6100</v>
      </c>
      <c r="L56" s="2">
        <f t="shared" si="0"/>
        <v>11000</v>
      </c>
      <c r="M56" s="2">
        <f t="shared" si="0"/>
        <v>48500</v>
      </c>
      <c r="N56" s="2">
        <f t="shared" si="0"/>
        <v>400</v>
      </c>
      <c r="O56" s="2">
        <f t="shared" si="0"/>
        <v>1972.35</v>
      </c>
      <c r="P56" s="2">
        <f t="shared" si="0"/>
        <v>0</v>
      </c>
      <c r="Q56" s="2">
        <f t="shared" si="0"/>
        <v>2300</v>
      </c>
      <c r="R56" s="2">
        <f t="shared" si="0"/>
        <v>0</v>
      </c>
      <c r="S56" s="7">
        <f>SUM(C56:R56)</f>
        <v>93752.35</v>
      </c>
    </row>
    <row r="57" spans="1:19" x14ac:dyDescent="0.3">
      <c r="C57">
        <f>SUM(S:S)</f>
        <v>93752.35</v>
      </c>
    </row>
    <row r="71" spans="2:2" x14ac:dyDescent="0.3">
      <c r="B71" t="s">
        <v>84</v>
      </c>
    </row>
  </sheetData>
  <pageMargins left="0.75" right="0.75" top="1" bottom="1" header="0.5" footer="0.5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9"/>
  <sheetViews>
    <sheetView workbookViewId="0"/>
  </sheetViews>
  <sheetFormatPr baseColWidth="10" defaultColWidth="8.88671875" defaultRowHeight="14.4" x14ac:dyDescent="0.3"/>
  <cols>
    <col min="1" max="1" width="32" customWidth="1"/>
    <col min="2" max="2" width="40" customWidth="1"/>
    <col min="3" max="4" width="14" customWidth="1"/>
    <col min="5" max="5" width="16" customWidth="1"/>
    <col min="6" max="6" width="13" customWidth="1"/>
    <col min="7" max="7" width="17" customWidth="1"/>
  </cols>
  <sheetData>
    <row r="1" spans="1:7" x14ac:dyDescent="0.3">
      <c r="A1" s="1" t="s">
        <v>0</v>
      </c>
      <c r="B1" s="1" t="s">
        <v>1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</row>
    <row r="2" spans="1:7" x14ac:dyDescent="0.3">
      <c r="A2" t="s">
        <v>18</v>
      </c>
      <c r="B2" t="s">
        <v>19</v>
      </c>
      <c r="C2" s="2">
        <v>0</v>
      </c>
      <c r="D2" s="2">
        <v>0</v>
      </c>
      <c r="E2" s="2">
        <v>0</v>
      </c>
      <c r="F2" s="2">
        <v>0</v>
      </c>
      <c r="G2" s="2">
        <v>0</v>
      </c>
    </row>
    <row r="3" spans="1:7" x14ac:dyDescent="0.3">
      <c r="A3" t="s">
        <v>18</v>
      </c>
      <c r="B3" t="s">
        <v>20</v>
      </c>
      <c r="C3" s="2">
        <v>835.22</v>
      </c>
      <c r="D3" s="2">
        <v>756.41</v>
      </c>
      <c r="E3" s="2">
        <v>1126.02</v>
      </c>
      <c r="F3" s="2">
        <v>0</v>
      </c>
      <c r="G3" s="2">
        <v>1000</v>
      </c>
    </row>
    <row r="4" spans="1:7" x14ac:dyDescent="0.3">
      <c r="A4" t="s">
        <v>18</v>
      </c>
      <c r="B4" t="s">
        <v>21</v>
      </c>
      <c r="C4" s="2">
        <v>11837.85</v>
      </c>
      <c r="D4" s="2">
        <v>3429.43</v>
      </c>
      <c r="E4" s="2">
        <v>6849.29</v>
      </c>
      <c r="F4" s="2">
        <v>0</v>
      </c>
      <c r="G4" s="2">
        <v>15000</v>
      </c>
    </row>
    <row r="5" spans="1:7" x14ac:dyDescent="0.3">
      <c r="A5" t="s">
        <v>18</v>
      </c>
      <c r="B5" t="s">
        <v>22</v>
      </c>
      <c r="C5" s="2">
        <v>11268.16</v>
      </c>
      <c r="D5" s="2">
        <v>4900.8999999999996</v>
      </c>
      <c r="E5" s="2">
        <v>6679.65</v>
      </c>
      <c r="F5" s="2">
        <v>-37.380000000000003</v>
      </c>
      <c r="G5" s="2">
        <v>10000</v>
      </c>
    </row>
    <row r="6" spans="1:7" x14ac:dyDescent="0.3">
      <c r="A6" t="s">
        <v>18</v>
      </c>
      <c r="B6" t="s">
        <v>23</v>
      </c>
      <c r="C6" s="2">
        <v>1041.33</v>
      </c>
      <c r="D6" s="2">
        <v>3448.12</v>
      </c>
      <c r="E6" s="2">
        <v>-18.53</v>
      </c>
      <c r="F6" s="2">
        <v>0</v>
      </c>
      <c r="G6" s="2">
        <v>1500</v>
      </c>
    </row>
    <row r="7" spans="1:7" x14ac:dyDescent="0.3">
      <c r="A7" t="s">
        <v>18</v>
      </c>
      <c r="B7" t="s">
        <v>24</v>
      </c>
      <c r="C7" s="2">
        <v>3246.21</v>
      </c>
      <c r="D7" s="2">
        <v>3738.63</v>
      </c>
      <c r="E7" s="2">
        <v>1240.6199999999999</v>
      </c>
      <c r="F7" s="2">
        <v>0</v>
      </c>
      <c r="G7" s="2">
        <v>1500</v>
      </c>
    </row>
    <row r="8" spans="1:7" x14ac:dyDescent="0.3">
      <c r="A8" t="s">
        <v>18</v>
      </c>
      <c r="B8" t="s">
        <v>25</v>
      </c>
      <c r="C8" s="2">
        <v>0</v>
      </c>
      <c r="D8" s="2">
        <v>0</v>
      </c>
      <c r="E8" s="2">
        <v>529.17999999999995</v>
      </c>
      <c r="F8" s="2">
        <v>0</v>
      </c>
      <c r="G8" s="2">
        <v>500</v>
      </c>
    </row>
    <row r="9" spans="1:7" x14ac:dyDescent="0.3">
      <c r="A9" t="s">
        <v>18</v>
      </c>
      <c r="B9" t="s">
        <v>26</v>
      </c>
      <c r="C9" s="2">
        <v>0</v>
      </c>
      <c r="D9" s="2">
        <v>1408.32</v>
      </c>
      <c r="E9" s="2">
        <v>3461.48</v>
      </c>
      <c r="F9" s="2">
        <v>0</v>
      </c>
      <c r="G9" s="2">
        <v>1500</v>
      </c>
    </row>
    <row r="10" spans="1:7" x14ac:dyDescent="0.3">
      <c r="A10" t="s">
        <v>18</v>
      </c>
      <c r="B10" t="s">
        <v>27</v>
      </c>
      <c r="C10" s="2">
        <v>0</v>
      </c>
      <c r="D10" s="2">
        <v>1305.9000000000001</v>
      </c>
      <c r="E10" s="2">
        <v>0</v>
      </c>
      <c r="F10" s="2">
        <v>0</v>
      </c>
      <c r="G10" s="2">
        <v>1000</v>
      </c>
    </row>
    <row r="11" spans="1:7" x14ac:dyDescent="0.3">
      <c r="A11" t="s">
        <v>18</v>
      </c>
      <c r="B11" t="s">
        <v>28</v>
      </c>
      <c r="C11" s="2">
        <v>0</v>
      </c>
      <c r="D11" s="2">
        <v>1706.16</v>
      </c>
      <c r="E11" s="2">
        <v>956.76</v>
      </c>
      <c r="F11" s="2">
        <v>0</v>
      </c>
      <c r="G11" s="2">
        <v>500</v>
      </c>
    </row>
    <row r="12" spans="1:7" x14ac:dyDescent="0.3">
      <c r="A12" t="s">
        <v>18</v>
      </c>
      <c r="B12" t="s">
        <v>29</v>
      </c>
      <c r="C12" s="2">
        <v>1891.16</v>
      </c>
      <c r="D12" s="2">
        <v>4156.47</v>
      </c>
      <c r="E12" s="2">
        <v>2621.57</v>
      </c>
      <c r="F12" s="2">
        <v>0</v>
      </c>
      <c r="G12" s="2">
        <v>3000</v>
      </c>
    </row>
    <row r="13" spans="1:7" x14ac:dyDescent="0.3">
      <c r="A13" t="s">
        <v>18</v>
      </c>
      <c r="B13" t="s">
        <v>30</v>
      </c>
      <c r="C13" s="2">
        <v>4931.71</v>
      </c>
      <c r="D13" s="2">
        <v>3199.36</v>
      </c>
      <c r="E13" s="2">
        <v>6830.75</v>
      </c>
      <c r="F13" s="2">
        <v>0</v>
      </c>
      <c r="G13" s="2">
        <v>6000</v>
      </c>
    </row>
    <row r="14" spans="1:7" x14ac:dyDescent="0.3">
      <c r="A14" t="s">
        <v>18</v>
      </c>
      <c r="B14" t="s">
        <v>31</v>
      </c>
      <c r="C14" s="2">
        <v>7372.95</v>
      </c>
      <c r="D14" s="2">
        <v>15346.27</v>
      </c>
      <c r="E14" s="2">
        <v>10832.59</v>
      </c>
      <c r="F14" s="2">
        <v>-18.53</v>
      </c>
      <c r="G14" s="2">
        <v>6000</v>
      </c>
    </row>
    <row r="15" spans="1:7" x14ac:dyDescent="0.3">
      <c r="A15" t="s">
        <v>18</v>
      </c>
      <c r="B15" t="s">
        <v>32</v>
      </c>
      <c r="C15" s="2">
        <v>0</v>
      </c>
      <c r="D15" s="2">
        <v>0</v>
      </c>
      <c r="E15" s="2">
        <v>2648.33</v>
      </c>
      <c r="F15" s="2">
        <v>0</v>
      </c>
      <c r="G15" s="2">
        <v>0</v>
      </c>
    </row>
    <row r="16" spans="1:7" x14ac:dyDescent="0.3">
      <c r="A16" t="s">
        <v>18</v>
      </c>
      <c r="B16" t="s">
        <v>33</v>
      </c>
      <c r="C16" s="2">
        <v>29.7</v>
      </c>
      <c r="D16" s="2">
        <v>0</v>
      </c>
      <c r="E16" s="2">
        <v>3382.14</v>
      </c>
      <c r="F16" s="2">
        <v>0</v>
      </c>
      <c r="G16" s="2">
        <v>3000</v>
      </c>
    </row>
    <row r="17" spans="1:7" x14ac:dyDescent="0.3">
      <c r="A17" t="s">
        <v>18</v>
      </c>
      <c r="B17" t="s">
        <v>34</v>
      </c>
      <c r="C17" s="2">
        <v>613.22</v>
      </c>
      <c r="D17" s="2">
        <v>236.39</v>
      </c>
      <c r="E17" s="2">
        <v>25.2</v>
      </c>
      <c r="F17" s="2">
        <v>0</v>
      </c>
      <c r="G17" s="2">
        <v>1000</v>
      </c>
    </row>
    <row r="18" spans="1:7" x14ac:dyDescent="0.3">
      <c r="A18" t="s">
        <v>18</v>
      </c>
      <c r="B18" t="s">
        <v>35</v>
      </c>
      <c r="C18" s="2">
        <v>0</v>
      </c>
      <c r="D18" s="2">
        <v>307.93</v>
      </c>
      <c r="E18" s="2">
        <v>0</v>
      </c>
      <c r="F18" s="2">
        <v>0</v>
      </c>
      <c r="G18" s="2">
        <v>500</v>
      </c>
    </row>
    <row r="19" spans="1:7" x14ac:dyDescent="0.3">
      <c r="A19" t="s">
        <v>18</v>
      </c>
      <c r="B19" t="s">
        <v>36</v>
      </c>
      <c r="C19" s="2">
        <v>0</v>
      </c>
      <c r="D19" s="2">
        <v>1634.69</v>
      </c>
      <c r="E19" s="2">
        <v>0</v>
      </c>
      <c r="F19" s="2">
        <v>0</v>
      </c>
      <c r="G19" s="2">
        <v>0</v>
      </c>
    </row>
    <row r="20" spans="1:7" x14ac:dyDescent="0.3">
      <c r="A20" t="s">
        <v>18</v>
      </c>
      <c r="B20" t="s">
        <v>37</v>
      </c>
      <c r="C20" s="2">
        <v>26.1</v>
      </c>
      <c r="D20" s="2">
        <v>409.57</v>
      </c>
      <c r="E20" s="2">
        <v>0</v>
      </c>
      <c r="F20" s="2">
        <v>0</v>
      </c>
      <c r="G20" s="2">
        <v>0</v>
      </c>
    </row>
    <row r="21" spans="1:7" x14ac:dyDescent="0.3">
      <c r="A21" t="s">
        <v>18</v>
      </c>
      <c r="B21" t="s">
        <v>38</v>
      </c>
      <c r="C21" s="2">
        <v>0</v>
      </c>
      <c r="D21" s="2">
        <v>0</v>
      </c>
      <c r="E21" s="2">
        <v>1054.31</v>
      </c>
      <c r="F21" s="2">
        <v>0</v>
      </c>
      <c r="G21" s="2">
        <v>0</v>
      </c>
    </row>
    <row r="22" spans="1:7" x14ac:dyDescent="0.3">
      <c r="A22" t="s">
        <v>18</v>
      </c>
      <c r="B22" t="s">
        <v>39</v>
      </c>
      <c r="C22" s="2">
        <v>13349.81</v>
      </c>
      <c r="D22" s="2">
        <v>6477.99</v>
      </c>
      <c r="E22" s="2">
        <v>8432.2199999999993</v>
      </c>
      <c r="F22" s="2">
        <v>0</v>
      </c>
      <c r="G22" s="2">
        <v>15000</v>
      </c>
    </row>
    <row r="23" spans="1:7" x14ac:dyDescent="0.3">
      <c r="A23" t="s">
        <v>18</v>
      </c>
      <c r="B23" t="s">
        <v>40</v>
      </c>
      <c r="C23" s="2">
        <v>0</v>
      </c>
      <c r="D23" s="2">
        <v>75.849999999999994</v>
      </c>
      <c r="E23" s="2">
        <v>0</v>
      </c>
      <c r="F23" s="2">
        <v>0</v>
      </c>
      <c r="G23" s="2">
        <v>0</v>
      </c>
    </row>
    <row r="24" spans="1:7" x14ac:dyDescent="0.3">
      <c r="A24" t="s">
        <v>18</v>
      </c>
      <c r="B24" t="s">
        <v>41</v>
      </c>
      <c r="C24" s="2">
        <v>207.36</v>
      </c>
      <c r="D24" s="2">
        <v>0</v>
      </c>
      <c r="E24" s="2">
        <v>2639.49</v>
      </c>
      <c r="F24" s="2">
        <v>0</v>
      </c>
      <c r="G24" s="2">
        <v>500</v>
      </c>
    </row>
    <row r="25" spans="1:7" x14ac:dyDescent="0.3">
      <c r="A25" t="s">
        <v>18</v>
      </c>
      <c r="B25" t="s">
        <v>42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</row>
    <row r="26" spans="1:7" x14ac:dyDescent="0.3">
      <c r="A26" t="s">
        <v>18</v>
      </c>
      <c r="B26" t="s">
        <v>43</v>
      </c>
      <c r="C26" s="2">
        <v>0</v>
      </c>
      <c r="D26" s="2">
        <v>4090.13</v>
      </c>
      <c r="E26" s="2">
        <v>-1054.31</v>
      </c>
      <c r="F26" s="2">
        <v>0</v>
      </c>
      <c r="G26" s="2">
        <v>1500</v>
      </c>
    </row>
    <row r="27" spans="1:7" x14ac:dyDescent="0.3">
      <c r="A27" t="s">
        <v>18</v>
      </c>
      <c r="B27" t="s">
        <v>44</v>
      </c>
      <c r="C27" s="2">
        <v>4226.2</v>
      </c>
      <c r="D27" s="2">
        <v>6141.83</v>
      </c>
      <c r="E27" s="2">
        <v>3417.52</v>
      </c>
      <c r="F27" s="2">
        <v>0</v>
      </c>
      <c r="G27" s="2">
        <v>6000</v>
      </c>
    </row>
    <row r="28" spans="1:7" x14ac:dyDescent="0.3">
      <c r="A28" t="s">
        <v>18</v>
      </c>
      <c r="B28" t="s">
        <v>45</v>
      </c>
      <c r="C28" s="2">
        <v>25.85</v>
      </c>
      <c r="D28" s="2">
        <v>0</v>
      </c>
      <c r="E28" s="2">
        <v>0</v>
      </c>
      <c r="F28" s="2">
        <v>0</v>
      </c>
      <c r="G28" s="2">
        <v>300</v>
      </c>
    </row>
    <row r="29" spans="1:7" x14ac:dyDescent="0.3">
      <c r="A29" t="s">
        <v>18</v>
      </c>
      <c r="B29" t="s">
        <v>46</v>
      </c>
      <c r="C29" s="2">
        <v>1085.74</v>
      </c>
      <c r="D29" s="2">
        <v>0</v>
      </c>
      <c r="E29" s="2">
        <v>0</v>
      </c>
      <c r="F29" s="2">
        <v>0</v>
      </c>
      <c r="G29" s="2">
        <v>1500</v>
      </c>
    </row>
    <row r="30" spans="1:7" x14ac:dyDescent="0.3">
      <c r="A30" t="s">
        <v>18</v>
      </c>
      <c r="B30" t="s">
        <v>47</v>
      </c>
      <c r="C30" s="2">
        <v>3369.61</v>
      </c>
      <c r="D30" s="2">
        <v>11957.12</v>
      </c>
      <c r="E30" s="2">
        <v>1448.96</v>
      </c>
      <c r="F30" s="2">
        <v>0</v>
      </c>
      <c r="G30" s="2">
        <v>3000</v>
      </c>
    </row>
    <row r="31" spans="1:7" x14ac:dyDescent="0.3">
      <c r="A31" t="s">
        <v>18</v>
      </c>
      <c r="B31" t="s">
        <v>48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</row>
    <row r="32" spans="1:7" x14ac:dyDescent="0.3">
      <c r="A32" t="s">
        <v>18</v>
      </c>
      <c r="B32" t="s">
        <v>49</v>
      </c>
      <c r="C32" s="2">
        <v>0</v>
      </c>
      <c r="D32" s="2">
        <v>0</v>
      </c>
      <c r="E32" s="2">
        <v>0</v>
      </c>
      <c r="F32" s="2">
        <v>0</v>
      </c>
      <c r="G32" s="2">
        <v>300</v>
      </c>
    </row>
    <row r="33" spans="1:7" x14ac:dyDescent="0.3">
      <c r="A33" t="s">
        <v>18</v>
      </c>
      <c r="B33" t="s">
        <v>50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</row>
    <row r="34" spans="1:7" x14ac:dyDescent="0.3">
      <c r="A34" t="s">
        <v>18</v>
      </c>
      <c r="B34" t="s">
        <v>51</v>
      </c>
      <c r="C34" s="2">
        <v>14676.14</v>
      </c>
      <c r="D34" s="2">
        <v>16519.07</v>
      </c>
      <c r="E34" s="2">
        <v>11589.38</v>
      </c>
      <c r="F34" s="2">
        <v>0</v>
      </c>
      <c r="G34" s="2">
        <v>10000</v>
      </c>
    </row>
    <row r="35" spans="1:7" x14ac:dyDescent="0.3">
      <c r="A35" t="s">
        <v>18</v>
      </c>
      <c r="B35" t="s">
        <v>52</v>
      </c>
      <c r="C35" s="2">
        <v>3813.7</v>
      </c>
      <c r="D35" s="2">
        <v>5423.93</v>
      </c>
      <c r="E35" s="2">
        <v>4132.26</v>
      </c>
      <c r="F35" s="2">
        <v>0</v>
      </c>
      <c r="G35" s="2">
        <v>8000</v>
      </c>
    </row>
    <row r="36" spans="1:7" x14ac:dyDescent="0.3">
      <c r="A36" t="s">
        <v>18</v>
      </c>
      <c r="B36" t="s">
        <v>53</v>
      </c>
      <c r="C36" s="2">
        <v>0</v>
      </c>
      <c r="D36" s="2">
        <v>0</v>
      </c>
      <c r="E36" s="2">
        <v>0</v>
      </c>
      <c r="F36" s="2">
        <v>0</v>
      </c>
      <c r="G36" s="2">
        <v>200</v>
      </c>
    </row>
    <row r="37" spans="1:7" x14ac:dyDescent="0.3">
      <c r="A37" t="s">
        <v>18</v>
      </c>
      <c r="B37" t="s">
        <v>54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</row>
    <row r="38" spans="1:7" x14ac:dyDescent="0.3">
      <c r="A38" t="s">
        <v>18</v>
      </c>
      <c r="B38" t="s">
        <v>55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</row>
    <row r="39" spans="1:7" x14ac:dyDescent="0.3">
      <c r="A39" t="s">
        <v>18</v>
      </c>
      <c r="B39" t="s">
        <v>56</v>
      </c>
      <c r="C39" s="2">
        <v>5583.08</v>
      </c>
      <c r="D39" s="2">
        <v>2443.8200000000002</v>
      </c>
      <c r="E39" s="2">
        <v>319.83999999999997</v>
      </c>
      <c r="F39" s="2">
        <v>0</v>
      </c>
      <c r="G39" s="2">
        <v>3500</v>
      </c>
    </row>
    <row r="40" spans="1:7" x14ac:dyDescent="0.3">
      <c r="A40" t="s">
        <v>18</v>
      </c>
      <c r="B40" t="s">
        <v>57</v>
      </c>
      <c r="C40" s="2">
        <v>299.16000000000003</v>
      </c>
      <c r="D40" s="2">
        <v>0</v>
      </c>
      <c r="E40" s="2">
        <v>0</v>
      </c>
      <c r="F40" s="2">
        <v>0</v>
      </c>
      <c r="G40" s="2">
        <v>1000</v>
      </c>
    </row>
    <row r="41" spans="1:7" x14ac:dyDescent="0.3">
      <c r="A41" t="s">
        <v>18</v>
      </c>
      <c r="B41" t="s">
        <v>58</v>
      </c>
      <c r="C41" s="2">
        <v>1345.72</v>
      </c>
      <c r="D41" s="2">
        <v>858.12</v>
      </c>
      <c r="E41" s="2">
        <v>0</v>
      </c>
      <c r="F41" s="2">
        <v>0</v>
      </c>
      <c r="G41" s="2">
        <v>2000</v>
      </c>
    </row>
    <row r="42" spans="1:7" x14ac:dyDescent="0.3">
      <c r="A42" t="s">
        <v>18</v>
      </c>
      <c r="B42" t="s">
        <v>59</v>
      </c>
      <c r="C42" s="2">
        <v>0</v>
      </c>
      <c r="D42" s="2">
        <v>0</v>
      </c>
      <c r="E42" s="2">
        <v>0</v>
      </c>
      <c r="F42" s="2">
        <v>0</v>
      </c>
      <c r="G42" s="2">
        <v>200</v>
      </c>
    </row>
    <row r="43" spans="1:7" x14ac:dyDescent="0.3">
      <c r="A43" t="s">
        <v>18</v>
      </c>
      <c r="B43" t="s">
        <v>60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</row>
    <row r="44" spans="1:7" x14ac:dyDescent="0.3">
      <c r="A44" t="s">
        <v>18</v>
      </c>
      <c r="B44" t="s">
        <v>61</v>
      </c>
      <c r="C44" s="2">
        <v>0</v>
      </c>
      <c r="D44" s="2">
        <v>0</v>
      </c>
      <c r="E44" s="2">
        <v>0</v>
      </c>
      <c r="F44" s="2">
        <v>0</v>
      </c>
      <c r="G44" s="2">
        <v>300</v>
      </c>
    </row>
    <row r="45" spans="1:7" x14ac:dyDescent="0.3">
      <c r="A45" t="s">
        <v>18</v>
      </c>
      <c r="B45" t="s">
        <v>62</v>
      </c>
      <c r="C45" s="2">
        <v>-782.14</v>
      </c>
      <c r="D45" s="2">
        <v>5106.97</v>
      </c>
      <c r="E45" s="2">
        <v>553.5</v>
      </c>
      <c r="F45" s="2">
        <v>0</v>
      </c>
      <c r="G45" s="2">
        <v>1500</v>
      </c>
    </row>
    <row r="46" spans="1:7" x14ac:dyDescent="0.3">
      <c r="A46" t="s">
        <v>18</v>
      </c>
      <c r="B46" t="s">
        <v>63</v>
      </c>
      <c r="C46" s="2">
        <v>0</v>
      </c>
      <c r="D46" s="2">
        <v>73.37</v>
      </c>
      <c r="E46" s="2">
        <v>6441.13</v>
      </c>
      <c r="F46" s="2">
        <v>0</v>
      </c>
      <c r="G46" s="2">
        <v>1500</v>
      </c>
    </row>
    <row r="47" spans="1:7" x14ac:dyDescent="0.3">
      <c r="A47" t="s">
        <v>18</v>
      </c>
      <c r="B47" t="s">
        <v>64</v>
      </c>
      <c r="C47" s="2">
        <v>1971.65</v>
      </c>
      <c r="D47" s="2">
        <v>-99.53</v>
      </c>
      <c r="E47" s="2">
        <v>518.4</v>
      </c>
      <c r="F47" s="2">
        <v>0</v>
      </c>
      <c r="G47" s="2">
        <v>1500</v>
      </c>
    </row>
    <row r="48" spans="1:7" x14ac:dyDescent="0.3">
      <c r="A48" t="s">
        <v>18</v>
      </c>
      <c r="B48" t="s">
        <v>65</v>
      </c>
      <c r="C48" s="2">
        <v>0</v>
      </c>
      <c r="D48" s="2">
        <v>1204.72</v>
      </c>
      <c r="E48" s="2">
        <v>0</v>
      </c>
      <c r="F48" s="2">
        <v>0</v>
      </c>
      <c r="G48" s="2">
        <v>500</v>
      </c>
    </row>
    <row r="49" spans="1:7" x14ac:dyDescent="0.3">
      <c r="A49" t="s">
        <v>18</v>
      </c>
      <c r="B49" t="s">
        <v>66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</row>
    <row r="50" spans="1:7" x14ac:dyDescent="0.3">
      <c r="A50" t="s">
        <v>18</v>
      </c>
      <c r="B50" t="s">
        <v>67</v>
      </c>
      <c r="C50" s="2">
        <v>308.27999999999997</v>
      </c>
      <c r="D50" s="2">
        <v>0</v>
      </c>
      <c r="E50" s="2">
        <v>0</v>
      </c>
      <c r="F50" s="2">
        <v>0</v>
      </c>
      <c r="G50" s="2">
        <v>0</v>
      </c>
    </row>
    <row r="51" spans="1:7" x14ac:dyDescent="0.3">
      <c r="A51" t="s">
        <v>18</v>
      </c>
      <c r="B51" t="s">
        <v>67</v>
      </c>
      <c r="C51" s="2">
        <v>308.27999999999997</v>
      </c>
      <c r="D51" s="2">
        <v>0</v>
      </c>
      <c r="E51" s="2">
        <v>0</v>
      </c>
      <c r="F51" s="2">
        <v>0</v>
      </c>
      <c r="G51" s="2">
        <v>0</v>
      </c>
    </row>
    <row r="52" spans="1:7" x14ac:dyDescent="0.3">
      <c r="A52" t="s">
        <v>18</v>
      </c>
      <c r="B52" t="s">
        <v>68</v>
      </c>
      <c r="C52" s="2">
        <v>153.5</v>
      </c>
      <c r="D52" s="2">
        <v>0</v>
      </c>
      <c r="E52" s="2">
        <v>575.55999999999995</v>
      </c>
      <c r="F52" s="2">
        <v>0</v>
      </c>
      <c r="G52" s="2">
        <v>1500</v>
      </c>
    </row>
    <row r="53" spans="1:7" x14ac:dyDescent="0.3">
      <c r="A53" t="s">
        <v>18</v>
      </c>
      <c r="B53" t="s">
        <v>68</v>
      </c>
      <c r="C53" s="2">
        <v>153.5</v>
      </c>
      <c r="D53" s="2">
        <v>0</v>
      </c>
      <c r="E53" s="2">
        <v>575.55999999999995</v>
      </c>
      <c r="F53" s="2">
        <v>0</v>
      </c>
      <c r="G53" s="2">
        <v>1650</v>
      </c>
    </row>
    <row r="54" spans="1:7" x14ac:dyDescent="0.3">
      <c r="A54" t="s">
        <v>18</v>
      </c>
      <c r="B54" t="s">
        <v>69</v>
      </c>
      <c r="C54" s="2">
        <v>820.98</v>
      </c>
      <c r="D54" s="2">
        <v>4750.7299999999996</v>
      </c>
      <c r="E54" s="2">
        <v>1787.3</v>
      </c>
      <c r="F54" s="2">
        <v>-27.65</v>
      </c>
      <c r="G54" s="2">
        <v>500</v>
      </c>
    </row>
    <row r="55" spans="1:7" x14ac:dyDescent="0.3">
      <c r="A55" t="s">
        <v>18</v>
      </c>
      <c r="B55" t="s">
        <v>69</v>
      </c>
      <c r="C55" s="2">
        <v>820.98</v>
      </c>
      <c r="D55" s="2">
        <v>4750.7299999999996</v>
      </c>
      <c r="E55" s="2">
        <v>1787.3</v>
      </c>
      <c r="F55" s="2">
        <v>-27.65</v>
      </c>
      <c r="G55" s="2">
        <v>1000</v>
      </c>
    </row>
    <row r="56" spans="1:7" x14ac:dyDescent="0.3">
      <c r="A56" t="s">
        <v>18</v>
      </c>
      <c r="B56" t="s">
        <v>70</v>
      </c>
      <c r="C56" s="2">
        <v>0</v>
      </c>
      <c r="D56" s="2">
        <v>4253.6400000000003</v>
      </c>
      <c r="E56" s="2">
        <v>0</v>
      </c>
      <c r="F56" s="2">
        <v>0</v>
      </c>
      <c r="G56" s="2">
        <v>0</v>
      </c>
    </row>
    <row r="57" spans="1:7" x14ac:dyDescent="0.3">
      <c r="A57" t="s">
        <v>18</v>
      </c>
      <c r="B57" t="s">
        <v>71</v>
      </c>
      <c r="C57" s="2">
        <v>0</v>
      </c>
      <c r="D57" s="2">
        <v>0</v>
      </c>
      <c r="E57" s="2">
        <v>0</v>
      </c>
      <c r="F57" s="2">
        <v>0</v>
      </c>
      <c r="G57" s="2">
        <v>1000</v>
      </c>
    </row>
    <row r="58" spans="1:7" x14ac:dyDescent="0.3">
      <c r="A58" t="s">
        <v>18</v>
      </c>
      <c r="B58" t="s">
        <v>71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</row>
    <row r="59" spans="1:7" x14ac:dyDescent="0.3">
      <c r="C59" s="5">
        <v>94831.01</v>
      </c>
      <c r="D59" s="5">
        <v>120013.04</v>
      </c>
      <c r="E59" s="5">
        <v>91383.47</v>
      </c>
      <c r="F59" s="5">
        <v>-111.21</v>
      </c>
      <c r="G59" s="5">
        <v>115950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/>
  </sheetViews>
  <sheetFormatPr baseColWidth="10" defaultColWidth="8.88671875" defaultRowHeight="14.4" x14ac:dyDescent="0.3"/>
  <cols>
    <col min="1" max="1" width="32" customWidth="1"/>
    <col min="2" max="3" width="22" customWidth="1"/>
    <col min="4" max="4" width="14" customWidth="1"/>
    <col min="5" max="6" width="24" customWidth="1"/>
  </cols>
  <sheetData>
    <row r="1" spans="1:6" x14ac:dyDescent="0.3">
      <c r="A1" s="1" t="s">
        <v>0</v>
      </c>
      <c r="B1" s="1" t="s">
        <v>78</v>
      </c>
      <c r="C1" s="1" t="s">
        <v>77</v>
      </c>
      <c r="D1" s="1" t="s">
        <v>79</v>
      </c>
      <c r="E1" s="1" t="s">
        <v>80</v>
      </c>
      <c r="F1" s="1" t="s">
        <v>81</v>
      </c>
    </row>
    <row r="2" spans="1:6" x14ac:dyDescent="0.3">
      <c r="A2" t="s">
        <v>18</v>
      </c>
      <c r="B2" t="s">
        <v>2</v>
      </c>
      <c r="C2" s="2">
        <v>6197.5840294365898</v>
      </c>
      <c r="D2" s="2">
        <v>1321.92</v>
      </c>
      <c r="E2" s="2">
        <v>4875.6640294365898</v>
      </c>
      <c r="F2" s="3">
        <v>0.21329601885529789</v>
      </c>
    </row>
    <row r="3" spans="1:6" x14ac:dyDescent="0.3">
      <c r="A3" t="s">
        <v>18</v>
      </c>
      <c r="B3" t="s">
        <v>3</v>
      </c>
      <c r="C3" s="2">
        <v>17669.147098818299</v>
      </c>
      <c r="D3" s="2">
        <v>3647.8</v>
      </c>
      <c r="E3" s="2">
        <v>14021.3470988183</v>
      </c>
      <c r="F3" s="3">
        <v>0.20645025929089481</v>
      </c>
    </row>
    <row r="4" spans="1:6" x14ac:dyDescent="0.3">
      <c r="A4" t="s">
        <v>18</v>
      </c>
      <c r="B4" t="s">
        <v>4</v>
      </c>
      <c r="C4" s="2">
        <v>1043.22288526528</v>
      </c>
      <c r="D4" s="2">
        <v>314.38</v>
      </c>
      <c r="E4" s="2">
        <v>728.84288526527996</v>
      </c>
      <c r="F4" s="3">
        <v>0.30135458533394488</v>
      </c>
    </row>
    <row r="5" spans="1:6" x14ac:dyDescent="0.3">
      <c r="A5" t="s">
        <v>18</v>
      </c>
      <c r="B5" t="s">
        <v>6</v>
      </c>
      <c r="C5" s="2">
        <v>150</v>
      </c>
      <c r="D5" s="2">
        <v>0</v>
      </c>
      <c r="E5" s="2">
        <v>150</v>
      </c>
      <c r="F5" s="3">
        <v>0</v>
      </c>
    </row>
    <row r="6" spans="1:6" x14ac:dyDescent="0.3">
      <c r="A6" t="s">
        <v>18</v>
      </c>
      <c r="B6" t="s">
        <v>7</v>
      </c>
      <c r="C6" s="2">
        <v>2907.5836814602599</v>
      </c>
      <c r="D6" s="2">
        <v>4072.5</v>
      </c>
      <c r="E6" s="2">
        <v>-1164.9163185397399</v>
      </c>
      <c r="F6" s="3">
        <v>1.400647563806209</v>
      </c>
    </row>
    <row r="7" spans="1:6" x14ac:dyDescent="0.3">
      <c r="A7" t="s">
        <v>18</v>
      </c>
      <c r="B7" t="s">
        <v>8</v>
      </c>
      <c r="C7" s="2">
        <v>886.71101628757401</v>
      </c>
      <c r="D7" s="2">
        <v>2753.1</v>
      </c>
      <c r="E7" s="2">
        <v>-1866.3889837124259</v>
      </c>
      <c r="F7" s="3">
        <v>3.1048447007306912</v>
      </c>
    </row>
    <row r="8" spans="1:6" x14ac:dyDescent="0.3">
      <c r="A8" t="s">
        <v>18</v>
      </c>
      <c r="B8" t="s">
        <v>15</v>
      </c>
      <c r="C8" s="2">
        <v>1346.40488751609</v>
      </c>
      <c r="D8" s="2">
        <v>316.27999999999997</v>
      </c>
      <c r="E8" s="2">
        <v>1030.12488751609</v>
      </c>
      <c r="F8" s="3">
        <v>0.2349070498276993</v>
      </c>
    </row>
    <row r="9" spans="1:6" x14ac:dyDescent="0.3">
      <c r="A9" t="s">
        <v>18</v>
      </c>
      <c r="B9" t="s">
        <v>82</v>
      </c>
      <c r="C9" s="2">
        <v>0</v>
      </c>
      <c r="D9" s="2">
        <v>0</v>
      </c>
      <c r="E9" s="2">
        <v>0</v>
      </c>
      <c r="F9" s="3">
        <v>0</v>
      </c>
    </row>
    <row r="10" spans="1:6" x14ac:dyDescent="0.3">
      <c r="A10" t="s">
        <v>18</v>
      </c>
      <c r="B10" t="s">
        <v>10</v>
      </c>
      <c r="C10" s="2">
        <v>3881.07983534392</v>
      </c>
      <c r="D10" s="2">
        <v>0</v>
      </c>
      <c r="E10" s="2">
        <v>3881.07983534392</v>
      </c>
      <c r="F10" s="3">
        <v>0</v>
      </c>
    </row>
    <row r="11" spans="1:6" x14ac:dyDescent="0.3">
      <c r="A11" t="s">
        <v>18</v>
      </c>
      <c r="B11" t="s">
        <v>11</v>
      </c>
      <c r="C11" s="2">
        <v>17831.4143984654</v>
      </c>
      <c r="D11" s="2">
        <v>16711.27</v>
      </c>
      <c r="E11" s="2">
        <v>1120.1443984653999</v>
      </c>
      <c r="F11" s="3">
        <v>0.93718140505097558</v>
      </c>
    </row>
    <row r="12" spans="1:6" x14ac:dyDescent="0.3">
      <c r="A12" t="s">
        <v>18</v>
      </c>
      <c r="B12" t="s">
        <v>12</v>
      </c>
      <c r="C12" s="2">
        <v>61863.720394756601</v>
      </c>
      <c r="D12" s="2">
        <v>52203.09</v>
      </c>
      <c r="E12" s="2">
        <v>9660.6303947566048</v>
      </c>
      <c r="F12" s="3">
        <v>0.84384013225988563</v>
      </c>
    </row>
    <row r="13" spans="1:6" x14ac:dyDescent="0.3">
      <c r="A13" t="s">
        <v>18</v>
      </c>
      <c r="B13" t="s">
        <v>13</v>
      </c>
      <c r="C13" s="2">
        <v>440.65317777811902</v>
      </c>
      <c r="D13" s="2">
        <v>358.6</v>
      </c>
      <c r="E13" s="2">
        <v>82.053177778118993</v>
      </c>
      <c r="F13" s="3">
        <v>0.81379192998936001</v>
      </c>
    </row>
    <row r="14" spans="1:6" x14ac:dyDescent="0.3">
      <c r="A14" t="s">
        <v>18</v>
      </c>
      <c r="B14" t="s">
        <v>14</v>
      </c>
      <c r="C14" s="2">
        <v>7837.3141057062203</v>
      </c>
      <c r="D14" s="2">
        <v>4583.34</v>
      </c>
      <c r="E14" s="2">
        <v>3253.9741057062201</v>
      </c>
      <c r="F14" s="3">
        <v>0.58481004310685281</v>
      </c>
    </row>
    <row r="15" spans="1:6" x14ac:dyDescent="0.3">
      <c r="B15" s="6" t="s">
        <v>83</v>
      </c>
      <c r="C15" s="2">
        <v>122054.8355108344</v>
      </c>
      <c r="D15" s="2">
        <v>86282.28</v>
      </c>
      <c r="E15" s="2">
        <v>35772.555510834347</v>
      </c>
      <c r="F15" s="3">
        <v>0.70691406562373382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 POR GRUPO</vt:lpstr>
      <vt:lpstr>VENTA MENSUAL</vt:lpstr>
      <vt:lpstr>CUMPLIMIENTO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Isabel Solano de la Sala</cp:lastModifiedBy>
  <dcterms:created xsi:type="dcterms:W3CDTF">2025-05-16T20:33:48Z</dcterms:created>
  <dcterms:modified xsi:type="dcterms:W3CDTF">2026-02-03T17:12:36Z</dcterms:modified>
</cp:coreProperties>
</file>