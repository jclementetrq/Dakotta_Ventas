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Users\LENOVO\Desktop\ANGEL RIOS TOTAL\"/>
    </mc:Choice>
  </mc:AlternateContent>
  <xr:revisionPtr revIDLastSave="0" documentId="8_{2E8F46E2-BED1-814D-A076-89940BF9EE6C}" xr6:coauthVersionLast="47" xr6:coauthVersionMax="47" xr10:uidLastSave="{00000000-0000-0000-0000-000000000000}"/>
  <bookViews>
    <workbookView xWindow="0" yWindow="0" windowWidth="28800" windowHeight="12030" xr2:uid="{00000000-000D-0000-FFFF-FFFF00000000}"/>
  </bookViews>
  <sheets>
    <sheet name="VENTAS POR GRUPO" sheetId="1" r:id="rId1"/>
    <sheet name="VENTA MENSUAL" sheetId="2" r:id="rId2"/>
    <sheet name="CUMPLIMIENTO MENSUAL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D27" i="1"/>
  <c r="H26" i="2"/>
  <c r="S27" i="1"/>
</calcChain>
</file>

<file path=xl/sharedStrings.xml><?xml version="1.0" encoding="utf-8"?>
<sst xmlns="http://schemas.openxmlformats.org/spreadsheetml/2006/main" count="152" uniqueCount="54">
  <si>
    <t>ASESOR</t>
  </si>
  <si>
    <t>CLIENTE</t>
  </si>
  <si>
    <t>240X120 PORCELANATO</t>
  </si>
  <si>
    <t>240X80 PORCELANATO</t>
  </si>
  <si>
    <t>FREGADEROS DE COCINA</t>
  </si>
  <si>
    <t>GRANITO</t>
  </si>
  <si>
    <t>GRIFERIAS</t>
  </si>
  <si>
    <t>INODOROS</t>
  </si>
  <si>
    <t>LAVABOS</t>
  </si>
  <si>
    <t>LED</t>
  </si>
  <si>
    <t>PANELES DECORATIVOS</t>
  </si>
  <si>
    <t>PIEDRA SINTERIZADA</t>
  </si>
  <si>
    <t>PORCELANATO</t>
  </si>
  <si>
    <t>PUERTAS DE SEGURIDAD</t>
  </si>
  <si>
    <t>SAL SOLUBLE</t>
  </si>
  <si>
    <t>NO RESURTIBLES</t>
  </si>
  <si>
    <t>PANELES PVC</t>
  </si>
  <si>
    <t>PANELES PU</t>
  </si>
  <si>
    <t>RIOS CARRION ANGEL BENIGNO</t>
  </si>
  <si>
    <t>BARRAGAN PUENTE NATALY CAROLINA</t>
  </si>
  <si>
    <t>BECERRA FARIAS ROSA DAYANA</t>
  </si>
  <si>
    <t>BELTRAN ESPINOZA SONIA SARITA</t>
  </si>
  <si>
    <t>CAIZA COLLAGUAZO ROCIO PILAR</t>
  </si>
  <si>
    <t>CERAMICAS AL COSTO S.A.S.</t>
  </si>
  <si>
    <t>CERAMICCENTER CIA. LTDA.</t>
  </si>
  <si>
    <t>CONSTANTE CAMACHO ARIANA ELIZABETH</t>
  </si>
  <si>
    <t>CONZA VEGA FRANCO BLADYMIR</t>
  </si>
  <si>
    <t>CULMA OVIEDO NINI JOHANA</t>
  </si>
  <si>
    <t>DDH S.A.S.</t>
  </si>
  <si>
    <t>F.V - AREA ANDINA S.A.</t>
  </si>
  <si>
    <t>FERRIACABADOS MACONSE</t>
  </si>
  <si>
    <t>GANCHOZO CEDEÑO YURI MERCEDES</t>
  </si>
  <si>
    <t>LUNA PAZMIÑO MYRIAM DEL ROCIO</t>
  </si>
  <si>
    <t>MAÑAY REAL NOEMI ELIZABETH</t>
  </si>
  <si>
    <t>MERIZALDE PEREIRA KAREN ELIZABETH</t>
  </si>
  <si>
    <t>MUNDIACABADOS CIA. LTDA.</t>
  </si>
  <si>
    <t>MUNDO-CERAMICO CIA.LTDA.</t>
  </si>
  <si>
    <t>PUEBLA GONZALEZ MARIO DANIEL</t>
  </si>
  <si>
    <t>TAMAYO VILLACIS EDWIN XAVIER</t>
  </si>
  <si>
    <t>TOSCANO RAMIREZ MONICA CECILIA</t>
  </si>
  <si>
    <t>VELASQUEZ ARELLANO SAIRA MAGDALENA</t>
  </si>
  <si>
    <t>VIDAL VARGAS ANDREA DOMINIQUE</t>
  </si>
  <si>
    <t>ZAMBRANO ANGELA MARIA</t>
  </si>
  <si>
    <t>octubre</t>
  </si>
  <si>
    <t>noviembre</t>
  </si>
  <si>
    <t>diciembre</t>
  </si>
  <si>
    <t>enero</t>
  </si>
  <si>
    <t>PRESUPUESTO</t>
  </si>
  <si>
    <t>GRUPO</t>
  </si>
  <si>
    <t>VENTA</t>
  </si>
  <si>
    <t>POR CUMPLIR</t>
  </si>
  <si>
    <t>CUMPLIMIENTO</t>
  </si>
  <si>
    <t>OTROS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</si>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</sst>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0" fontId="0" fillId="0" borderId="0" xfId="0" applyNumberFormat="1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2" fillId="2" borderId="0" xfId="0" applyNumberFormat="1" applyFont="1" applyFill="1" applyAlignment="1">
      <alignment horizontal="right"/>
    </xf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7"/>
  <sheetViews>
    <sheetView tabSelected="1" workbookViewId="0">
      <selection activeCell="N31" sqref="N31"/>
    </sheetView>
  </sheetViews>
  <sheetFormatPr defaultColWidth="9.14453125" defaultRowHeight="15" x14ac:dyDescent="0.2"/>
  <cols>
    <col min="1" max="1" width="27.98046875" customWidth="1"/>
    <col min="2" max="2" width="36.05078125" customWidth="1"/>
    <col min="3" max="3" width="25.01953125" hidden="1" customWidth="1"/>
    <col min="4" max="4" width="23.9453125" customWidth="1"/>
    <col min="5" max="5" width="25.9609375" customWidth="1"/>
    <col min="6" max="6" width="13.046875" hidden="1" customWidth="1"/>
    <col min="7" max="7" width="14.9296875" customWidth="1"/>
    <col min="8" max="8" width="13.98828125" customWidth="1"/>
    <col min="9" max="9" width="13.046875" customWidth="1"/>
    <col min="10" max="10" width="9.01171875" hidden="1" customWidth="1"/>
    <col min="11" max="11" width="25.01953125" customWidth="1"/>
    <col min="12" max="12" width="23.9453125" customWidth="1"/>
    <col min="13" max="13" width="16.94921875" customWidth="1"/>
    <col min="14" max="14" width="25.9609375" customWidth="1"/>
    <col min="15" max="15" width="16.94921875" hidden="1" customWidth="1"/>
    <col min="16" max="16" width="20.04296875" hidden="1" customWidth="1"/>
    <col min="17" max="17" width="16.94921875" customWidth="1"/>
    <col min="18" max="18" width="16.0078125" hidden="1" customWidth="1"/>
    <col min="19" max="19" width="10.0859375" bestFit="1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9" x14ac:dyDescent="0.2">
      <c r="A2" t="s">
        <v>18</v>
      </c>
      <c r="B2" t="s">
        <v>19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f>SUM(D2:R2)</f>
        <v>0</v>
      </c>
    </row>
    <row r="3" spans="1:19" x14ac:dyDescent="0.2">
      <c r="A3" t="s">
        <v>18</v>
      </c>
      <c r="B3" t="s">
        <v>20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2500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f t="shared" ref="S3:S25" si="0">SUM(D3:R3)</f>
        <v>2500</v>
      </c>
    </row>
    <row r="4" spans="1:19" x14ac:dyDescent="0.2">
      <c r="A4" t="s">
        <v>18</v>
      </c>
      <c r="B4" t="s">
        <v>21</v>
      </c>
      <c r="C4" s="2">
        <v>0</v>
      </c>
      <c r="D4" s="2">
        <v>0</v>
      </c>
      <c r="E4" s="2">
        <v>200</v>
      </c>
      <c r="F4" s="2">
        <v>0</v>
      </c>
      <c r="G4" s="2">
        <v>0</v>
      </c>
      <c r="H4" s="2">
        <v>500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f t="shared" si="0"/>
        <v>700</v>
      </c>
    </row>
    <row r="5" spans="1:19" x14ac:dyDescent="0.2">
      <c r="A5" t="s">
        <v>18</v>
      </c>
      <c r="B5" t="s">
        <v>22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300</v>
      </c>
      <c r="I5" s="2">
        <v>0</v>
      </c>
      <c r="J5" s="2">
        <v>0</v>
      </c>
      <c r="K5" s="2">
        <v>0</v>
      </c>
      <c r="L5" s="2">
        <v>0</v>
      </c>
      <c r="M5" s="2">
        <v>700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f t="shared" si="0"/>
        <v>1000</v>
      </c>
    </row>
    <row r="6" spans="1:19" x14ac:dyDescent="0.2">
      <c r="A6" t="s">
        <v>18</v>
      </c>
      <c r="B6" t="s">
        <v>23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10000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f t="shared" si="0"/>
        <v>10000</v>
      </c>
    </row>
    <row r="7" spans="1:19" x14ac:dyDescent="0.2">
      <c r="A7" t="s">
        <v>18</v>
      </c>
      <c r="B7" t="s">
        <v>24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f t="shared" si="0"/>
        <v>0</v>
      </c>
    </row>
    <row r="8" spans="1:19" x14ac:dyDescent="0.2">
      <c r="A8" t="s">
        <v>18</v>
      </c>
      <c r="B8" t="s">
        <v>25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f t="shared" si="0"/>
        <v>0</v>
      </c>
    </row>
    <row r="9" spans="1:19" x14ac:dyDescent="0.2">
      <c r="A9" t="s">
        <v>18</v>
      </c>
      <c r="B9" t="s">
        <v>26</v>
      </c>
      <c r="C9" s="2">
        <v>0</v>
      </c>
      <c r="D9" s="2">
        <v>500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4000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f t="shared" si="0"/>
        <v>4500</v>
      </c>
    </row>
    <row r="10" spans="1:19" x14ac:dyDescent="0.2">
      <c r="A10" t="s">
        <v>18</v>
      </c>
      <c r="B10" t="s">
        <v>27</v>
      </c>
      <c r="C10" s="2">
        <v>0</v>
      </c>
      <c r="D10" s="2">
        <v>500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f t="shared" si="0"/>
        <v>500</v>
      </c>
    </row>
    <row r="11" spans="1:19" x14ac:dyDescent="0.2">
      <c r="A11" t="s">
        <v>18</v>
      </c>
      <c r="B11" t="s">
        <v>28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500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f t="shared" si="0"/>
        <v>500</v>
      </c>
    </row>
    <row r="12" spans="1:19" x14ac:dyDescent="0.2">
      <c r="A12" t="s">
        <v>18</v>
      </c>
      <c r="B12" t="s">
        <v>29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4500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f t="shared" si="0"/>
        <v>4500</v>
      </c>
    </row>
    <row r="13" spans="1:19" x14ac:dyDescent="0.2">
      <c r="A13" t="s">
        <v>18</v>
      </c>
      <c r="B13" t="s">
        <v>30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2500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f t="shared" si="0"/>
        <v>2500</v>
      </c>
    </row>
    <row r="14" spans="1:19" x14ac:dyDescent="0.2">
      <c r="A14" t="s">
        <v>18</v>
      </c>
      <c r="B14" t="s">
        <v>31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500</v>
      </c>
      <c r="J14" s="2">
        <v>0</v>
      </c>
      <c r="K14" s="2">
        <v>0</v>
      </c>
      <c r="L14" s="2">
        <v>0</v>
      </c>
      <c r="M14" s="2">
        <v>4000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f t="shared" si="0"/>
        <v>4500</v>
      </c>
    </row>
    <row r="15" spans="1:19" x14ac:dyDescent="0.2">
      <c r="A15" t="s">
        <v>18</v>
      </c>
      <c r="B15" t="s">
        <v>32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f t="shared" si="0"/>
        <v>0</v>
      </c>
    </row>
    <row r="16" spans="1:19" x14ac:dyDescent="0.2">
      <c r="A16" t="s">
        <v>18</v>
      </c>
      <c r="B16" t="s">
        <v>33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500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f t="shared" si="0"/>
        <v>500</v>
      </c>
    </row>
    <row r="17" spans="1:19" x14ac:dyDescent="0.2">
      <c r="A17" t="s">
        <v>18</v>
      </c>
      <c r="B17" t="s">
        <v>34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f t="shared" si="0"/>
        <v>0</v>
      </c>
    </row>
    <row r="18" spans="1:19" x14ac:dyDescent="0.2">
      <c r="A18" t="s">
        <v>18</v>
      </c>
      <c r="B18" t="s">
        <v>35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f t="shared" si="0"/>
        <v>0</v>
      </c>
    </row>
    <row r="19" spans="1:19" x14ac:dyDescent="0.2">
      <c r="A19" t="s">
        <v>18</v>
      </c>
      <c r="B19" t="s">
        <v>36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f t="shared" si="0"/>
        <v>0</v>
      </c>
    </row>
    <row r="20" spans="1:19" x14ac:dyDescent="0.2">
      <c r="A20" t="s">
        <v>18</v>
      </c>
      <c r="B20" t="s">
        <v>37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f t="shared" si="0"/>
        <v>0</v>
      </c>
    </row>
    <row r="21" spans="1:19" x14ac:dyDescent="0.2">
      <c r="A21" t="s">
        <v>18</v>
      </c>
      <c r="B21" t="s">
        <v>38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700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f t="shared" si="0"/>
        <v>700</v>
      </c>
    </row>
    <row r="22" spans="1:19" x14ac:dyDescent="0.2">
      <c r="A22" t="s">
        <v>18</v>
      </c>
      <c r="B22" t="s">
        <v>39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200</v>
      </c>
      <c r="L22" s="2">
        <v>800</v>
      </c>
      <c r="M22" s="2">
        <v>1000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f t="shared" si="0"/>
        <v>2000</v>
      </c>
    </row>
    <row r="23" spans="1:19" x14ac:dyDescent="0.2">
      <c r="A23" t="s">
        <v>18</v>
      </c>
      <c r="B23" t="s">
        <v>40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f t="shared" si="0"/>
        <v>0</v>
      </c>
    </row>
    <row r="24" spans="1:19" x14ac:dyDescent="0.2">
      <c r="A24" t="s">
        <v>18</v>
      </c>
      <c r="B24" t="s">
        <v>41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f t="shared" si="0"/>
        <v>0</v>
      </c>
    </row>
    <row r="25" spans="1:19" x14ac:dyDescent="0.2">
      <c r="A25" t="s">
        <v>18</v>
      </c>
      <c r="B25" t="s">
        <v>42</v>
      </c>
      <c r="C25" s="2">
        <v>0</v>
      </c>
      <c r="D25" s="2">
        <v>2000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9550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f t="shared" si="0"/>
        <v>11550</v>
      </c>
    </row>
    <row r="27" spans="1:19" x14ac:dyDescent="0.2">
      <c r="D27" s="2">
        <f>SUM(D2:D26)</f>
        <v>3000</v>
      </c>
      <c r="E27" s="2">
        <f t="shared" ref="E27:Q27" si="1">SUM(E2:E26)</f>
        <v>200</v>
      </c>
      <c r="F27" s="2">
        <f t="shared" si="1"/>
        <v>0</v>
      </c>
      <c r="G27" s="2">
        <f t="shared" si="1"/>
        <v>0</v>
      </c>
      <c r="H27" s="2">
        <f t="shared" si="1"/>
        <v>800</v>
      </c>
      <c r="I27" s="2">
        <f t="shared" si="1"/>
        <v>500</v>
      </c>
      <c r="J27" s="2">
        <f t="shared" si="1"/>
        <v>0</v>
      </c>
      <c r="K27" s="2">
        <f t="shared" si="1"/>
        <v>200</v>
      </c>
      <c r="L27" s="2">
        <f t="shared" si="1"/>
        <v>800</v>
      </c>
      <c r="M27" s="2">
        <f t="shared" si="1"/>
        <v>40450</v>
      </c>
      <c r="N27" s="2">
        <f t="shared" si="1"/>
        <v>0</v>
      </c>
      <c r="O27" s="2">
        <f t="shared" si="1"/>
        <v>0</v>
      </c>
      <c r="P27" s="2">
        <f t="shared" si="1"/>
        <v>0</v>
      </c>
      <c r="Q27" s="2">
        <f t="shared" si="1"/>
        <v>0</v>
      </c>
      <c r="S27" s="7">
        <f>SUM(D27:R27)</f>
        <v>45950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>
      <selection activeCell="H11" sqref="H11"/>
    </sheetView>
  </sheetViews>
  <sheetFormatPr defaultColWidth="9.14453125" defaultRowHeight="15" x14ac:dyDescent="0.2"/>
  <cols>
    <col min="1" max="1" width="27.98046875" customWidth="1"/>
    <col min="2" max="2" width="36.05078125" customWidth="1"/>
    <col min="3" max="3" width="13.98828125" customWidth="1"/>
    <col min="4" max="5" width="14.9296875" customWidth="1"/>
    <col min="6" max="7" width="11.02734375" customWidth="1"/>
    <col min="8" max="8" width="16.94921875" customWidth="1"/>
  </cols>
  <sheetData>
    <row r="1" spans="1:8" x14ac:dyDescent="0.2">
      <c r="A1" s="1" t="s">
        <v>0</v>
      </c>
      <c r="B1" s="1" t="s">
        <v>1</v>
      </c>
      <c r="C1" s="1" t="s">
        <v>43</v>
      </c>
      <c r="D1" s="1" t="s">
        <v>44</v>
      </c>
      <c r="E1" s="1" t="s">
        <v>45</v>
      </c>
      <c r="F1" s="1" t="s">
        <v>46</v>
      </c>
      <c r="G1" s="1"/>
      <c r="H1" s="1" t="s">
        <v>47</v>
      </c>
    </row>
    <row r="2" spans="1:8" x14ac:dyDescent="0.2">
      <c r="A2" t="s">
        <v>18</v>
      </c>
      <c r="B2" t="s">
        <v>19</v>
      </c>
      <c r="C2" s="2">
        <v>0</v>
      </c>
      <c r="D2" s="2">
        <v>0</v>
      </c>
      <c r="E2" s="2">
        <v>0</v>
      </c>
      <c r="F2" s="2">
        <v>0</v>
      </c>
      <c r="G2" s="2"/>
      <c r="H2" s="2">
        <v>0</v>
      </c>
    </row>
    <row r="3" spans="1:8" x14ac:dyDescent="0.2">
      <c r="A3" t="s">
        <v>18</v>
      </c>
      <c r="B3" t="s">
        <v>20</v>
      </c>
      <c r="C3" s="2">
        <v>0</v>
      </c>
      <c r="D3" s="2">
        <v>0</v>
      </c>
      <c r="E3" s="2">
        <v>0</v>
      </c>
      <c r="F3" s="2">
        <v>0</v>
      </c>
      <c r="G3" s="2"/>
      <c r="H3" s="2">
        <v>2500</v>
      </c>
    </row>
    <row r="4" spans="1:8" x14ac:dyDescent="0.2">
      <c r="A4" t="s">
        <v>18</v>
      </c>
      <c r="B4" t="s">
        <v>21</v>
      </c>
      <c r="C4" s="2">
        <v>2548.88</v>
      </c>
      <c r="D4" s="2">
        <v>1653.75</v>
      </c>
      <c r="E4" s="2">
        <v>0</v>
      </c>
      <c r="F4" s="2">
        <v>0</v>
      </c>
      <c r="G4" s="2"/>
      <c r="H4" s="2">
        <v>700</v>
      </c>
    </row>
    <row r="5" spans="1:8" x14ac:dyDescent="0.2">
      <c r="A5" t="s">
        <v>18</v>
      </c>
      <c r="B5" t="s">
        <v>22</v>
      </c>
      <c r="C5" s="2">
        <v>1362.43</v>
      </c>
      <c r="D5" s="2">
        <v>0</v>
      </c>
      <c r="E5" s="2">
        <v>0</v>
      </c>
      <c r="F5" s="2">
        <v>0</v>
      </c>
      <c r="G5" s="2"/>
      <c r="H5" s="2">
        <v>1000</v>
      </c>
    </row>
    <row r="6" spans="1:8" x14ac:dyDescent="0.2">
      <c r="A6" t="s">
        <v>18</v>
      </c>
      <c r="B6" t="s">
        <v>23</v>
      </c>
      <c r="C6" s="2">
        <v>0</v>
      </c>
      <c r="D6" s="2">
        <v>24929.52</v>
      </c>
      <c r="E6" s="2">
        <v>10645.56</v>
      </c>
      <c r="F6" s="2">
        <v>0</v>
      </c>
      <c r="G6" s="2"/>
      <c r="H6" s="2">
        <v>10000</v>
      </c>
    </row>
    <row r="7" spans="1:8" x14ac:dyDescent="0.2">
      <c r="A7" t="s">
        <v>18</v>
      </c>
      <c r="B7" t="s">
        <v>24</v>
      </c>
      <c r="C7" s="2">
        <v>0</v>
      </c>
      <c r="D7" s="2">
        <v>0</v>
      </c>
      <c r="E7" s="2">
        <v>0</v>
      </c>
      <c r="F7" s="2">
        <v>0</v>
      </c>
      <c r="G7" s="2"/>
      <c r="H7" s="2">
        <v>0</v>
      </c>
    </row>
    <row r="8" spans="1:8" x14ac:dyDescent="0.2">
      <c r="A8" t="s">
        <v>18</v>
      </c>
      <c r="B8" t="s">
        <v>25</v>
      </c>
      <c r="C8" s="2">
        <v>663.55</v>
      </c>
      <c r="D8" s="2">
        <v>0</v>
      </c>
      <c r="E8" s="2">
        <v>0</v>
      </c>
      <c r="F8" s="2">
        <v>0</v>
      </c>
      <c r="G8" s="2"/>
      <c r="H8" s="2">
        <v>0</v>
      </c>
    </row>
    <row r="9" spans="1:8" x14ac:dyDescent="0.2">
      <c r="A9" t="s">
        <v>18</v>
      </c>
      <c r="B9" t="s">
        <v>26</v>
      </c>
      <c r="C9" s="2">
        <v>0</v>
      </c>
      <c r="D9" s="2">
        <v>0</v>
      </c>
      <c r="E9" s="2">
        <v>0</v>
      </c>
      <c r="F9" s="2">
        <v>0</v>
      </c>
      <c r="G9" s="2"/>
      <c r="H9" s="2">
        <v>4500</v>
      </c>
    </row>
    <row r="10" spans="1:8" x14ac:dyDescent="0.2">
      <c r="A10" t="s">
        <v>18</v>
      </c>
      <c r="B10" t="s">
        <v>27</v>
      </c>
      <c r="C10" s="2">
        <v>4220.84</v>
      </c>
      <c r="D10" s="2">
        <v>0</v>
      </c>
      <c r="E10" s="2">
        <v>0</v>
      </c>
      <c r="F10" s="2">
        <v>0</v>
      </c>
      <c r="G10" s="2"/>
      <c r="H10" s="2">
        <v>500</v>
      </c>
    </row>
    <row r="11" spans="1:8" x14ac:dyDescent="0.2">
      <c r="A11" t="s">
        <v>18</v>
      </c>
      <c r="B11" t="s">
        <v>28</v>
      </c>
      <c r="C11" s="2">
        <v>0</v>
      </c>
      <c r="D11" s="2">
        <v>0</v>
      </c>
      <c r="E11" s="2">
        <v>0</v>
      </c>
      <c r="F11" s="2">
        <v>0</v>
      </c>
      <c r="G11" s="2"/>
      <c r="H11" s="2">
        <v>500</v>
      </c>
    </row>
    <row r="12" spans="1:8" x14ac:dyDescent="0.2">
      <c r="A12" t="s">
        <v>18</v>
      </c>
      <c r="B12" t="s">
        <v>29</v>
      </c>
      <c r="C12" s="2">
        <v>6935.82</v>
      </c>
      <c r="D12" s="2">
        <v>5890.54</v>
      </c>
      <c r="E12" s="2">
        <v>18531.43</v>
      </c>
      <c r="F12" s="2">
        <v>0</v>
      </c>
      <c r="G12" s="2"/>
      <c r="H12" s="2">
        <v>10000</v>
      </c>
    </row>
    <row r="13" spans="1:8" x14ac:dyDescent="0.2">
      <c r="A13" t="s">
        <v>18</v>
      </c>
      <c r="B13" t="s">
        <v>30</v>
      </c>
      <c r="C13" s="2">
        <v>0</v>
      </c>
      <c r="D13" s="2">
        <v>0</v>
      </c>
      <c r="E13" s="2">
        <v>0</v>
      </c>
      <c r="F13" s="2">
        <v>0</v>
      </c>
      <c r="G13" s="2"/>
      <c r="H13" s="2">
        <v>2500</v>
      </c>
    </row>
    <row r="14" spans="1:8" x14ac:dyDescent="0.2">
      <c r="A14" t="s">
        <v>18</v>
      </c>
      <c r="B14" t="s">
        <v>31</v>
      </c>
      <c r="C14" s="2">
        <v>0</v>
      </c>
      <c r="D14" s="2">
        <v>3080.12</v>
      </c>
      <c r="E14" s="2">
        <v>793.76</v>
      </c>
      <c r="F14" s="2">
        <v>0</v>
      </c>
      <c r="G14" s="2"/>
      <c r="H14" s="2">
        <v>4500</v>
      </c>
    </row>
    <row r="15" spans="1:8" x14ac:dyDescent="0.2">
      <c r="A15" t="s">
        <v>18</v>
      </c>
      <c r="B15" t="s">
        <v>32</v>
      </c>
      <c r="C15" s="2">
        <v>0</v>
      </c>
      <c r="D15" s="2">
        <v>0</v>
      </c>
      <c r="E15" s="2">
        <v>0</v>
      </c>
      <c r="F15" s="2">
        <v>0</v>
      </c>
      <c r="G15" s="2"/>
      <c r="H15" s="2">
        <v>0</v>
      </c>
    </row>
    <row r="16" spans="1:8" x14ac:dyDescent="0.2">
      <c r="A16" t="s">
        <v>18</v>
      </c>
      <c r="B16" t="s">
        <v>33</v>
      </c>
      <c r="C16" s="2">
        <v>0</v>
      </c>
      <c r="D16" s="2">
        <v>0</v>
      </c>
      <c r="E16" s="2">
        <v>0</v>
      </c>
      <c r="F16" s="2">
        <v>0</v>
      </c>
      <c r="G16" s="2"/>
      <c r="H16" s="2">
        <v>500</v>
      </c>
    </row>
    <row r="17" spans="1:8" x14ac:dyDescent="0.2">
      <c r="A17" t="s">
        <v>18</v>
      </c>
      <c r="B17" t="s">
        <v>34</v>
      </c>
      <c r="C17" s="2">
        <v>3162.93</v>
      </c>
      <c r="D17" s="2">
        <v>0</v>
      </c>
      <c r="E17" s="2">
        <v>0</v>
      </c>
      <c r="F17" s="2">
        <v>0</v>
      </c>
      <c r="G17" s="2"/>
      <c r="H17" s="2">
        <v>0</v>
      </c>
    </row>
    <row r="18" spans="1:8" x14ac:dyDescent="0.2">
      <c r="A18" t="s">
        <v>18</v>
      </c>
      <c r="B18" t="s">
        <v>35</v>
      </c>
      <c r="C18" s="2">
        <v>0</v>
      </c>
      <c r="D18" s="2">
        <v>0</v>
      </c>
      <c r="E18" s="2">
        <v>0</v>
      </c>
      <c r="F18" s="2">
        <v>0</v>
      </c>
      <c r="G18" s="2"/>
      <c r="H18" s="2">
        <v>0</v>
      </c>
    </row>
    <row r="19" spans="1:8" x14ac:dyDescent="0.2">
      <c r="A19" t="s">
        <v>18</v>
      </c>
      <c r="B19" t="s">
        <v>36</v>
      </c>
      <c r="C19" s="2">
        <v>0</v>
      </c>
      <c r="D19" s="2">
        <v>0</v>
      </c>
      <c r="E19" s="2">
        <v>0</v>
      </c>
      <c r="F19" s="2">
        <v>0</v>
      </c>
      <c r="G19" s="2"/>
      <c r="H19" s="2">
        <v>0</v>
      </c>
    </row>
    <row r="20" spans="1:8" x14ac:dyDescent="0.2">
      <c r="A20" t="s">
        <v>18</v>
      </c>
      <c r="B20" t="s">
        <v>37</v>
      </c>
      <c r="C20" s="2">
        <v>0</v>
      </c>
      <c r="D20" s="2">
        <v>0</v>
      </c>
      <c r="E20" s="2">
        <v>0</v>
      </c>
      <c r="F20" s="2">
        <v>0</v>
      </c>
      <c r="G20" s="2"/>
      <c r="H20" s="2">
        <v>0</v>
      </c>
    </row>
    <row r="21" spans="1:8" x14ac:dyDescent="0.2">
      <c r="A21" t="s">
        <v>18</v>
      </c>
      <c r="B21" t="s">
        <v>38</v>
      </c>
      <c r="C21" s="2">
        <v>1687.32</v>
      </c>
      <c r="D21" s="2">
        <v>0</v>
      </c>
      <c r="E21" s="2">
        <v>0</v>
      </c>
      <c r="F21" s="2">
        <v>0</v>
      </c>
      <c r="G21" s="2"/>
      <c r="H21" s="2">
        <v>700</v>
      </c>
    </row>
    <row r="22" spans="1:8" x14ac:dyDescent="0.2">
      <c r="A22" t="s">
        <v>18</v>
      </c>
      <c r="B22" t="s">
        <v>39</v>
      </c>
      <c r="C22" s="2">
        <v>14679.01</v>
      </c>
      <c r="D22" s="2">
        <v>5686.14</v>
      </c>
      <c r="E22" s="2">
        <v>3757.05</v>
      </c>
      <c r="F22" s="2">
        <v>0</v>
      </c>
      <c r="G22" s="2"/>
      <c r="H22" s="2">
        <v>2000</v>
      </c>
    </row>
    <row r="23" spans="1:8" x14ac:dyDescent="0.2">
      <c r="A23" t="s">
        <v>18</v>
      </c>
      <c r="B23" t="s">
        <v>40</v>
      </c>
      <c r="C23" s="2">
        <v>0</v>
      </c>
      <c r="D23" s="2">
        <v>0</v>
      </c>
      <c r="E23" s="2">
        <v>0</v>
      </c>
      <c r="F23" s="2">
        <v>0</v>
      </c>
      <c r="G23" s="2"/>
      <c r="H23" s="2">
        <v>0</v>
      </c>
    </row>
    <row r="24" spans="1:8" x14ac:dyDescent="0.2">
      <c r="A24" t="s">
        <v>18</v>
      </c>
      <c r="B24" t="s">
        <v>41</v>
      </c>
      <c r="C24" s="2">
        <v>0</v>
      </c>
      <c r="D24" s="2">
        <v>0</v>
      </c>
      <c r="E24" s="2">
        <v>0</v>
      </c>
      <c r="F24" s="2">
        <v>0</v>
      </c>
      <c r="G24" s="2"/>
      <c r="H24" s="2">
        <v>0</v>
      </c>
    </row>
    <row r="25" spans="1:8" x14ac:dyDescent="0.2">
      <c r="A25" t="s">
        <v>18</v>
      </c>
      <c r="B25" t="s">
        <v>42</v>
      </c>
      <c r="C25" s="2">
        <v>6348.54</v>
      </c>
      <c r="D25" s="2">
        <v>23307.46</v>
      </c>
      <c r="E25" s="2">
        <v>16458.650000000001</v>
      </c>
      <c r="F25" s="2">
        <v>0</v>
      </c>
      <c r="G25" s="2"/>
      <c r="H25" s="2">
        <v>12000</v>
      </c>
    </row>
    <row r="26" spans="1:8" x14ac:dyDescent="0.2">
      <c r="C26" s="4"/>
      <c r="D26" s="4"/>
      <c r="E26" s="4"/>
      <c r="F26" s="4"/>
      <c r="G26" s="4"/>
      <c r="H26" s="6">
        <f>SUM(H2:H25)</f>
        <v>51900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workbookViewId="0"/>
  </sheetViews>
  <sheetFormatPr defaultColWidth="9.14453125" defaultRowHeight="15" x14ac:dyDescent="0.2"/>
  <cols>
    <col min="1" max="1" width="27.98046875" customWidth="1"/>
    <col min="2" max="3" width="22.05859375" customWidth="1"/>
    <col min="4" max="4" width="13.98828125" customWidth="1"/>
    <col min="5" max="5" width="23" customWidth="1"/>
    <col min="6" max="6" width="23.9453125" customWidth="1"/>
  </cols>
  <sheetData>
    <row r="1" spans="1:6" x14ac:dyDescent="0.2">
      <c r="A1" s="1" t="s">
        <v>0</v>
      </c>
      <c r="B1" s="1" t="s">
        <v>48</v>
      </c>
      <c r="C1" s="1" t="s">
        <v>47</v>
      </c>
      <c r="D1" s="1" t="s">
        <v>49</v>
      </c>
      <c r="E1" s="1" t="s">
        <v>50</v>
      </c>
      <c r="F1" s="1" t="s">
        <v>51</v>
      </c>
    </row>
    <row r="2" spans="1:6" x14ac:dyDescent="0.2">
      <c r="A2" t="s">
        <v>18</v>
      </c>
      <c r="B2" t="s">
        <v>2</v>
      </c>
      <c r="C2" s="2">
        <v>129.6</v>
      </c>
      <c r="D2" s="2">
        <v>0</v>
      </c>
      <c r="E2" s="2">
        <v>129.6</v>
      </c>
      <c r="F2" s="3">
        <v>0</v>
      </c>
    </row>
    <row r="3" spans="1:6" x14ac:dyDescent="0.2">
      <c r="A3" t="s">
        <v>18</v>
      </c>
      <c r="B3" t="s">
        <v>3</v>
      </c>
      <c r="C3" s="2">
        <v>2344.0300000000002</v>
      </c>
      <c r="D3" s="2">
        <v>0</v>
      </c>
      <c r="E3" s="2">
        <v>2344.0300000000002</v>
      </c>
      <c r="F3" s="3">
        <v>0</v>
      </c>
    </row>
    <row r="4" spans="1:6" x14ac:dyDescent="0.2">
      <c r="A4" t="s">
        <v>18</v>
      </c>
      <c r="B4" t="s">
        <v>4</v>
      </c>
      <c r="C4" s="2">
        <v>207.39</v>
      </c>
      <c r="D4" s="2">
        <v>0</v>
      </c>
      <c r="E4" s="2">
        <v>207.39</v>
      </c>
      <c r="F4" s="3">
        <v>0</v>
      </c>
    </row>
    <row r="5" spans="1:6" x14ac:dyDescent="0.2">
      <c r="A5" t="s">
        <v>18</v>
      </c>
      <c r="B5" t="s">
        <v>6</v>
      </c>
      <c r="C5" s="2">
        <v>86.41</v>
      </c>
      <c r="D5" s="2">
        <v>0</v>
      </c>
      <c r="E5" s="2">
        <v>86.41</v>
      </c>
      <c r="F5" s="3">
        <v>0</v>
      </c>
    </row>
    <row r="6" spans="1:6" x14ac:dyDescent="0.2">
      <c r="A6" t="s">
        <v>18</v>
      </c>
      <c r="B6" t="s">
        <v>7</v>
      </c>
      <c r="C6" s="2">
        <v>855.91</v>
      </c>
      <c r="D6" s="2">
        <v>0</v>
      </c>
      <c r="E6" s="2">
        <v>855.91</v>
      </c>
      <c r="F6" s="3">
        <v>0</v>
      </c>
    </row>
    <row r="7" spans="1:6" x14ac:dyDescent="0.2">
      <c r="A7" t="s">
        <v>18</v>
      </c>
      <c r="B7" t="s">
        <v>8</v>
      </c>
      <c r="C7" s="2">
        <v>383</v>
      </c>
      <c r="D7" s="2">
        <v>0</v>
      </c>
      <c r="E7" s="2">
        <v>383</v>
      </c>
      <c r="F7" s="3">
        <v>0</v>
      </c>
    </row>
    <row r="8" spans="1:6" x14ac:dyDescent="0.2">
      <c r="A8" t="s">
        <v>18</v>
      </c>
      <c r="B8" t="s">
        <v>15</v>
      </c>
      <c r="C8" s="2">
        <v>415</v>
      </c>
      <c r="D8" s="2">
        <v>0</v>
      </c>
      <c r="E8" s="2">
        <v>415</v>
      </c>
      <c r="F8" s="3">
        <v>0</v>
      </c>
    </row>
    <row r="9" spans="1:6" x14ac:dyDescent="0.2">
      <c r="A9" t="s">
        <v>18</v>
      </c>
      <c r="B9" t="s">
        <v>52</v>
      </c>
      <c r="C9" s="2">
        <v>0</v>
      </c>
      <c r="D9" s="2">
        <v>0</v>
      </c>
      <c r="E9" s="2">
        <v>0</v>
      </c>
      <c r="F9" s="3">
        <v>0</v>
      </c>
    </row>
    <row r="10" spans="1:6" x14ac:dyDescent="0.2">
      <c r="A10" t="s">
        <v>18</v>
      </c>
      <c r="B10" t="s">
        <v>10</v>
      </c>
      <c r="C10" s="2">
        <v>388.10798353439202</v>
      </c>
      <c r="D10" s="2">
        <v>0</v>
      </c>
      <c r="E10" s="2">
        <v>388.10798353439202</v>
      </c>
      <c r="F10" s="3">
        <v>0</v>
      </c>
    </row>
    <row r="11" spans="1:6" x14ac:dyDescent="0.2">
      <c r="A11" t="s">
        <v>18</v>
      </c>
      <c r="B11" t="s">
        <v>11</v>
      </c>
      <c r="C11" s="2">
        <v>902.88</v>
      </c>
      <c r="D11" s="2">
        <v>739.07</v>
      </c>
      <c r="E11" s="2">
        <v>163.80999999999989</v>
      </c>
      <c r="F11" s="3">
        <v>0.81856946659578245</v>
      </c>
    </row>
    <row r="12" spans="1:6" x14ac:dyDescent="0.2">
      <c r="A12" t="s">
        <v>18</v>
      </c>
      <c r="B12" t="s">
        <v>12</v>
      </c>
      <c r="C12" s="2">
        <v>34701</v>
      </c>
      <c r="D12" s="2">
        <v>58122.32</v>
      </c>
      <c r="E12" s="2">
        <v>-23421.32</v>
      </c>
      <c r="F12" s="3">
        <v>1.6749465433272821</v>
      </c>
    </row>
    <row r="13" spans="1:6" x14ac:dyDescent="0.2">
      <c r="A13" t="s">
        <v>18</v>
      </c>
      <c r="B13" t="s">
        <v>13</v>
      </c>
      <c r="C13" s="2">
        <v>364.41260594752902</v>
      </c>
      <c r="D13" s="2">
        <v>0</v>
      </c>
      <c r="E13" s="2">
        <v>364.41260594752902</v>
      </c>
      <c r="F13" s="3">
        <v>0</v>
      </c>
    </row>
    <row r="14" spans="1:6" x14ac:dyDescent="0.2">
      <c r="B14" s="5" t="s">
        <v>53</v>
      </c>
      <c r="C14" s="2">
        <v>40777.740589481917</v>
      </c>
      <c r="D14" s="2">
        <v>58861.39</v>
      </c>
      <c r="E14" s="2">
        <v>-18083.649410518079</v>
      </c>
      <c r="F14" s="3">
        <v>1.443468646106953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VENTAS POR GRUPO</vt:lpstr>
      <vt:lpstr>VENTA MENSUAL</vt:lpstr>
      <vt:lpstr>CUMPLIMIENTO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2025-05-16T20:33:49Z</dcterms:created>
  <dcterms:modified xsi:type="dcterms:W3CDTF">2026-02-02T19:10:39Z</dcterms:modified>
</cp:coreProperties>
</file>