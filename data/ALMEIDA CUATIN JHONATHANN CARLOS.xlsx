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ophy\Downloads\"/>
    </mc:Choice>
  </mc:AlternateContent>
  <xr:revisionPtr revIDLastSave="0" documentId="13_ncr:1_{FF66B7B4-3660-43AB-AEC9-C2B527888D5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VENTAS POR GRUPO" sheetId="1" r:id="rId1"/>
    <sheet name="VENTA MENSUAL" sheetId="2" r:id="rId2"/>
    <sheet name="CUMPLIMIENTO MENSUAL" sheetId="3" r:id="rId3"/>
  </sheets>
  <calcPr calcId="191029"/>
</workbook>
</file>

<file path=xl/calcChain.xml><?xml version="1.0" encoding="utf-8"?>
<calcChain xmlns="http://schemas.openxmlformats.org/spreadsheetml/2006/main">
  <c r="G38" i="2" l="1"/>
</calcChain>
</file>

<file path=xl/sharedStrings.xml><?xml version="1.0" encoding="utf-8"?>
<sst xmlns="http://schemas.openxmlformats.org/spreadsheetml/2006/main" count="216" uniqueCount="69">
  <si>
    <t>ASESOR</t>
  </si>
  <si>
    <t>CLIENTE</t>
  </si>
  <si>
    <t>240X120 PORCELANATO</t>
  </si>
  <si>
    <t>240X80 PORCELANATO</t>
  </si>
  <si>
    <t>FREGADEROS DE COCINA</t>
  </si>
  <si>
    <t>GRANITO</t>
  </si>
  <si>
    <t>GRIFERIAS</t>
  </si>
  <si>
    <t>INODOROS</t>
  </si>
  <si>
    <t>LAVABOS</t>
  </si>
  <si>
    <t>LED</t>
  </si>
  <si>
    <t>PANELES DECORATIVOS</t>
  </si>
  <si>
    <t>PIEDRA SINTERIZADA</t>
  </si>
  <si>
    <t>PORCELANATO</t>
  </si>
  <si>
    <t>PUERTAS DE SEGURIDAD</t>
  </si>
  <si>
    <t>SAL SOLUBLE</t>
  </si>
  <si>
    <t>NO RESURTIBLES</t>
  </si>
  <si>
    <t>PANELES PVC</t>
  </si>
  <si>
    <t>PANELES PU</t>
  </si>
  <si>
    <t>ALMEIDA CUATIN JHONATHANN CARLOS</t>
  </si>
  <si>
    <t>ALMENDARIZ MOLINA HENRRY MAURICIO</t>
  </si>
  <si>
    <t>ALTAMIRANO MARCATOMA EDISON PAULINO</t>
  </si>
  <si>
    <t>ARMIJOS BUSTAMANTE FRANCISCO RAFAEL</t>
  </si>
  <si>
    <t>AUCANSHALA ALLAICA FREDDY HERNAN</t>
  </si>
  <si>
    <t>BERMEO BONILLA JOHANNA ELIZABETH</t>
  </si>
  <si>
    <t>CEOLAKABADOS CIA LTDA</t>
  </si>
  <si>
    <t>CHOCHOS ASTUDILLO MARCO ERNESTO</t>
  </si>
  <si>
    <t>COMFALASDI COMPAÑIA FAMILIAR LASCANO DIAZ C. LTDA.</t>
  </si>
  <si>
    <t>CORPORACION TOAQUIZAJR CORPOTOAQUIJR S.A.S.</t>
  </si>
  <si>
    <t>CUSTODE FALCONI DIANA CAROLINA</t>
  </si>
  <si>
    <t>FREVIUNO CIA. LTDA.</t>
  </si>
  <si>
    <t>FUENTES PAREDES MARIA FERNANDA</t>
  </si>
  <si>
    <t>GARCES VELASCO SOLUAKABADOS CIA.LTDA.</t>
  </si>
  <si>
    <t>GUNSHA MAIGUA SEGUNDO JORGE</t>
  </si>
  <si>
    <t>HERRERA CAICEDO LUIS FRANKLIN</t>
  </si>
  <si>
    <t>IMPORAKABADOS CIA. LTDA.</t>
  </si>
  <si>
    <t>INCA VELEZ EDWIN EDGAR</t>
  </si>
  <si>
    <t>JAYA TENE MARCO RENE</t>
  </si>
  <si>
    <t>LLERENA CONDO SANDRA MARISOL</t>
  </si>
  <si>
    <t>MANCHENO PINO HERVIN SANTIAGO</t>
  </si>
  <si>
    <t>ORTIZ PEREZ KEVIN DAVID</t>
  </si>
  <si>
    <t>OSORIO BASTIDAS FERNANDO JOSELITO</t>
  </si>
  <si>
    <t>PALATE CHUCARALAO JOSE ISRAEL</t>
  </si>
  <si>
    <t>PEÑAHERRERA MOLINA JORGE OCTAVIO</t>
  </si>
  <si>
    <t>POLO FUNES DORIS GRACIELA</t>
  </si>
  <si>
    <t>PROVEEDORA PARA METALMECANICA E INDUSTRIAS PROMETIN CIA LTDA</t>
  </si>
  <si>
    <t>QUINTEROS VELASCO ELSA ROSARIO</t>
  </si>
  <si>
    <t>SANCHEZ BONILLA MARCO VINICIO</t>
  </si>
  <si>
    <t>SANCHEZ SARMIENTO ANDRES FERNANDO</t>
  </si>
  <si>
    <t>SANTANA JIMENEZ MARIA ELENA</t>
  </si>
  <si>
    <t>SOCIEDAD DE HECHO PROCESA</t>
  </si>
  <si>
    <t>TAMAYO CONDO LUIS ALFREDO</t>
  </si>
  <si>
    <t>TIERRA GUAÑO JAIRO GABRIEL</t>
  </si>
  <si>
    <t>TOAQUIZA VILCA EDISON VLADIMIR</t>
  </si>
  <si>
    <t>VILLAFUERTE MASABANDA JULIO CESAR</t>
  </si>
  <si>
    <t>ZAMBRANO CEDEÑO MARJORIE XIOMARA</t>
  </si>
  <si>
    <t>0 de 36</t>
  </si>
  <si>
    <t>1 de 36</t>
  </si>
  <si>
    <t>2 de 36</t>
  </si>
  <si>
    <t>octubre</t>
  </si>
  <si>
    <t>noviembre</t>
  </si>
  <si>
    <t>diciembre</t>
  </si>
  <si>
    <t>enero</t>
  </si>
  <si>
    <t>PRESUPUESTO</t>
  </si>
  <si>
    <t>GRUPO</t>
  </si>
  <si>
    <t>VENTA</t>
  </si>
  <si>
    <t>POR CUMPLIR</t>
  </si>
  <si>
    <t>CUMPLIMIENTO</t>
  </si>
  <si>
    <t>OTROS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</si>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</sst>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 vertical="top"/>
    </xf>
    <xf numFmtId="10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8"/>
  <sheetViews>
    <sheetView workbookViewId="0"/>
  </sheetViews>
  <sheetFormatPr baseColWidth="10" defaultColWidth="9.140625" defaultRowHeight="15" x14ac:dyDescent="0.25"/>
  <cols>
    <col min="1" max="1" width="34" customWidth="1"/>
    <col min="2" max="2" width="62" customWidth="1"/>
    <col min="3" max="3" width="25" customWidth="1"/>
    <col min="4" max="4" width="24" customWidth="1"/>
    <col min="5" max="5" width="26" customWidth="1"/>
    <col min="6" max="6" width="13" customWidth="1"/>
    <col min="7" max="7" width="15" customWidth="1"/>
    <col min="8" max="8" width="14" customWidth="1"/>
    <col min="9" max="9" width="13" customWidth="1"/>
    <col min="10" max="10" width="9" customWidth="1"/>
    <col min="11" max="11" width="25" customWidth="1"/>
    <col min="12" max="12" width="24" customWidth="1"/>
    <col min="13" max="13" width="17" customWidth="1"/>
    <col min="14" max="14" width="26" customWidth="1"/>
    <col min="15" max="15" width="17" customWidth="1"/>
    <col min="16" max="16" width="20" customWidth="1"/>
    <col min="17" max="17" width="17" customWidth="1"/>
    <col min="18" max="18" width="16" customWidth="1"/>
  </cols>
  <sheetData>
    <row r="1" spans="1:18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</row>
    <row r="2" spans="1:18" x14ac:dyDescent="0.25">
      <c r="A2" t="s">
        <v>18</v>
      </c>
      <c r="B2" t="s">
        <v>19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</row>
    <row r="3" spans="1:18" x14ac:dyDescent="0.25">
      <c r="A3" t="s">
        <v>18</v>
      </c>
      <c r="B3" t="s">
        <v>20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</row>
    <row r="4" spans="1:18" x14ac:dyDescent="0.25">
      <c r="A4" t="s">
        <v>18</v>
      </c>
      <c r="B4" t="s">
        <v>21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</row>
    <row r="5" spans="1:18" x14ac:dyDescent="0.25">
      <c r="A5" t="s">
        <v>18</v>
      </c>
      <c r="B5" t="s">
        <v>22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142.56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</row>
    <row r="6" spans="1:18" x14ac:dyDescent="0.25">
      <c r="A6" t="s">
        <v>18</v>
      </c>
      <c r="B6" t="s">
        <v>23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</row>
    <row r="7" spans="1:18" x14ac:dyDescent="0.25">
      <c r="A7" t="s">
        <v>18</v>
      </c>
      <c r="B7" t="s">
        <v>24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</row>
    <row r="8" spans="1:18" x14ac:dyDescent="0.25">
      <c r="A8" t="s">
        <v>18</v>
      </c>
      <c r="B8" t="s">
        <v>25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</row>
    <row r="9" spans="1:18" x14ac:dyDescent="0.25">
      <c r="A9" t="s">
        <v>18</v>
      </c>
      <c r="B9" t="s">
        <v>26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</row>
    <row r="10" spans="1:18" x14ac:dyDescent="0.25">
      <c r="A10" t="s">
        <v>18</v>
      </c>
      <c r="B10" t="s">
        <v>27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</row>
    <row r="11" spans="1:18" x14ac:dyDescent="0.25">
      <c r="A11" t="s">
        <v>18</v>
      </c>
      <c r="B11" t="s">
        <v>28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</row>
    <row r="12" spans="1:18" x14ac:dyDescent="0.25">
      <c r="A12" t="s">
        <v>18</v>
      </c>
      <c r="B12" t="s">
        <v>29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</row>
    <row r="13" spans="1:18" x14ac:dyDescent="0.25">
      <c r="A13" t="s">
        <v>18</v>
      </c>
      <c r="B13" t="s">
        <v>30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</row>
    <row r="14" spans="1:18" x14ac:dyDescent="0.25">
      <c r="A14" t="s">
        <v>18</v>
      </c>
      <c r="B14" t="s">
        <v>31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</row>
    <row r="15" spans="1:18" x14ac:dyDescent="0.25">
      <c r="A15" t="s">
        <v>18</v>
      </c>
      <c r="B15" t="s">
        <v>32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</row>
    <row r="16" spans="1:18" x14ac:dyDescent="0.25">
      <c r="A16" t="s">
        <v>18</v>
      </c>
      <c r="B16" t="s">
        <v>33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</row>
    <row r="17" spans="1:18" x14ac:dyDescent="0.25">
      <c r="A17" t="s">
        <v>18</v>
      </c>
      <c r="B17" t="s">
        <v>34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</row>
    <row r="18" spans="1:18" x14ac:dyDescent="0.25">
      <c r="A18" t="s">
        <v>18</v>
      </c>
      <c r="B18" t="s">
        <v>35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</row>
    <row r="19" spans="1:18" x14ac:dyDescent="0.25">
      <c r="A19" t="s">
        <v>18</v>
      </c>
      <c r="B19" t="s">
        <v>36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</row>
    <row r="20" spans="1:18" x14ac:dyDescent="0.25">
      <c r="A20" t="s">
        <v>18</v>
      </c>
      <c r="B20" t="s">
        <v>37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</row>
    <row r="21" spans="1:18" x14ac:dyDescent="0.25">
      <c r="A21" t="s">
        <v>18</v>
      </c>
      <c r="B21" t="s">
        <v>38</v>
      </c>
      <c r="C21" s="1">
        <v>0</v>
      </c>
      <c r="D21" s="1">
        <v>0</v>
      </c>
      <c r="E21" s="1">
        <v>394.76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</row>
    <row r="22" spans="1:18" x14ac:dyDescent="0.25">
      <c r="A22" t="s">
        <v>18</v>
      </c>
      <c r="B22" t="s">
        <v>39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</row>
    <row r="23" spans="1:18" x14ac:dyDescent="0.25">
      <c r="A23" t="s">
        <v>18</v>
      </c>
      <c r="B23" t="s">
        <v>40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</row>
    <row r="24" spans="1:18" x14ac:dyDescent="0.25">
      <c r="A24" t="s">
        <v>18</v>
      </c>
      <c r="B24" t="s">
        <v>41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73.91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</row>
    <row r="25" spans="1:18" x14ac:dyDescent="0.25">
      <c r="A25" t="s">
        <v>18</v>
      </c>
      <c r="B25" t="s">
        <v>42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</row>
    <row r="26" spans="1:18" x14ac:dyDescent="0.25">
      <c r="A26" t="s">
        <v>18</v>
      </c>
      <c r="B26" t="s">
        <v>43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</row>
    <row r="27" spans="1:18" x14ac:dyDescent="0.25">
      <c r="A27" t="s">
        <v>18</v>
      </c>
      <c r="B27" t="s">
        <v>44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</row>
    <row r="28" spans="1:18" x14ac:dyDescent="0.25">
      <c r="A28" t="s">
        <v>18</v>
      </c>
      <c r="B28" t="s">
        <v>45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</row>
    <row r="29" spans="1:18" x14ac:dyDescent="0.25">
      <c r="A29" t="s">
        <v>18</v>
      </c>
      <c r="B29" t="s">
        <v>46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</row>
    <row r="30" spans="1:18" x14ac:dyDescent="0.25">
      <c r="A30" t="s">
        <v>18</v>
      </c>
      <c r="B30" t="s">
        <v>47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</row>
    <row r="31" spans="1:18" x14ac:dyDescent="0.25">
      <c r="A31" t="s">
        <v>18</v>
      </c>
      <c r="B31" t="s">
        <v>48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</row>
    <row r="32" spans="1:18" x14ac:dyDescent="0.25">
      <c r="A32" t="s">
        <v>18</v>
      </c>
      <c r="B32" t="s">
        <v>49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</row>
    <row r="33" spans="1:18" x14ac:dyDescent="0.25">
      <c r="A33" t="s">
        <v>18</v>
      </c>
      <c r="B33" t="s">
        <v>50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</row>
    <row r="34" spans="1:18" x14ac:dyDescent="0.25">
      <c r="A34" t="s">
        <v>18</v>
      </c>
      <c r="B34" t="s">
        <v>51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</row>
    <row r="35" spans="1:18" x14ac:dyDescent="0.25">
      <c r="A35" t="s">
        <v>18</v>
      </c>
      <c r="B35" t="s">
        <v>52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</row>
    <row r="36" spans="1:18" x14ac:dyDescent="0.25">
      <c r="A36" t="s">
        <v>18</v>
      </c>
      <c r="B36" t="s">
        <v>53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</row>
    <row r="37" spans="1:18" x14ac:dyDescent="0.25">
      <c r="A37" t="s">
        <v>18</v>
      </c>
      <c r="B37" t="s">
        <v>54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</row>
    <row r="38" spans="1:18" x14ac:dyDescent="0.25">
      <c r="C38" s="2" t="s">
        <v>55</v>
      </c>
      <c r="D38" s="2" t="s">
        <v>55</v>
      </c>
      <c r="E38" s="2" t="s">
        <v>56</v>
      </c>
      <c r="F38" s="2" t="s">
        <v>55</v>
      </c>
      <c r="G38" s="2" t="s">
        <v>55</v>
      </c>
      <c r="H38" s="2" t="s">
        <v>55</v>
      </c>
      <c r="I38" s="2" t="s">
        <v>55</v>
      </c>
      <c r="J38" s="2" t="s">
        <v>55</v>
      </c>
      <c r="K38" s="2" t="s">
        <v>55</v>
      </c>
      <c r="L38" s="2" t="s">
        <v>57</v>
      </c>
      <c r="M38" s="2" t="s">
        <v>55</v>
      </c>
      <c r="N38" s="2" t="s">
        <v>55</v>
      </c>
      <c r="O38" s="2" t="s">
        <v>55</v>
      </c>
      <c r="P38" s="2" t="s">
        <v>55</v>
      </c>
      <c r="Q38" s="2" t="s">
        <v>55</v>
      </c>
      <c r="R38" s="2" t="s">
        <v>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"/>
  <sheetViews>
    <sheetView tabSelected="1" workbookViewId="0">
      <selection activeCell="G3" sqref="G3"/>
    </sheetView>
  </sheetViews>
  <sheetFormatPr baseColWidth="10" defaultColWidth="9.140625" defaultRowHeight="15" x14ac:dyDescent="0.25"/>
  <cols>
    <col min="1" max="1" width="34" customWidth="1"/>
    <col min="2" max="2" width="62" customWidth="1"/>
    <col min="3" max="3" width="14" customWidth="1"/>
    <col min="4" max="5" width="15" customWidth="1"/>
    <col min="6" max="6" width="12" customWidth="1"/>
    <col min="7" max="7" width="17" customWidth="1"/>
  </cols>
  <sheetData>
    <row r="1" spans="1:7" x14ac:dyDescent="0.25">
      <c r="A1" s="4" t="s">
        <v>0</v>
      </c>
      <c r="B1" s="4" t="s">
        <v>1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</row>
    <row r="2" spans="1:7" x14ac:dyDescent="0.25">
      <c r="A2" t="s">
        <v>18</v>
      </c>
      <c r="B2" t="s">
        <v>19</v>
      </c>
      <c r="C2" s="1">
        <v>6045.88</v>
      </c>
      <c r="D2" s="1">
        <v>784.06</v>
      </c>
      <c r="E2" s="1">
        <v>2645.91</v>
      </c>
      <c r="F2" s="1">
        <v>0</v>
      </c>
      <c r="G2" s="1">
        <v>3000</v>
      </c>
    </row>
    <row r="3" spans="1:7" x14ac:dyDescent="0.25">
      <c r="A3" t="s">
        <v>18</v>
      </c>
      <c r="B3" t="s">
        <v>20</v>
      </c>
      <c r="C3" s="1">
        <v>1326.66</v>
      </c>
      <c r="D3" s="1">
        <v>1496.52</v>
      </c>
      <c r="E3" s="1">
        <v>0</v>
      </c>
      <c r="F3" s="1">
        <v>0</v>
      </c>
      <c r="G3" s="1">
        <v>1000</v>
      </c>
    </row>
    <row r="4" spans="1:7" x14ac:dyDescent="0.25">
      <c r="A4" t="s">
        <v>18</v>
      </c>
      <c r="B4" t="s">
        <v>21</v>
      </c>
      <c r="C4" s="1">
        <v>0</v>
      </c>
      <c r="D4" s="1">
        <v>0</v>
      </c>
      <c r="E4" s="1">
        <v>-199.54</v>
      </c>
      <c r="F4" s="1">
        <v>0</v>
      </c>
      <c r="G4" s="1">
        <v>500</v>
      </c>
    </row>
    <row r="5" spans="1:7" x14ac:dyDescent="0.25">
      <c r="A5" t="s">
        <v>18</v>
      </c>
      <c r="B5" t="s">
        <v>22</v>
      </c>
      <c r="C5" s="1">
        <v>476.59</v>
      </c>
      <c r="D5" s="1">
        <v>286</v>
      </c>
      <c r="E5" s="1">
        <v>2358.37</v>
      </c>
      <c r="F5" s="1">
        <v>142.56</v>
      </c>
      <c r="G5" s="1">
        <v>1000</v>
      </c>
    </row>
    <row r="6" spans="1:7" x14ac:dyDescent="0.25">
      <c r="A6" t="s">
        <v>18</v>
      </c>
      <c r="B6" t="s">
        <v>23</v>
      </c>
      <c r="C6" s="1">
        <v>0</v>
      </c>
      <c r="D6" s="1">
        <v>0</v>
      </c>
      <c r="E6" s="1">
        <v>0</v>
      </c>
      <c r="F6" s="1">
        <v>0</v>
      </c>
      <c r="G6" s="1">
        <v>0</v>
      </c>
    </row>
    <row r="7" spans="1:7" x14ac:dyDescent="0.25">
      <c r="A7" t="s">
        <v>18</v>
      </c>
      <c r="B7" t="s">
        <v>24</v>
      </c>
      <c r="C7" s="1">
        <v>0</v>
      </c>
      <c r="D7" s="1">
        <v>0</v>
      </c>
      <c r="E7" s="1">
        <v>0</v>
      </c>
      <c r="F7" s="1">
        <v>0</v>
      </c>
      <c r="G7" s="1">
        <v>0</v>
      </c>
    </row>
    <row r="8" spans="1:7" x14ac:dyDescent="0.25">
      <c r="A8" t="s">
        <v>18</v>
      </c>
      <c r="B8" t="s">
        <v>25</v>
      </c>
      <c r="C8" s="1">
        <v>0</v>
      </c>
      <c r="D8" s="1">
        <v>0</v>
      </c>
      <c r="E8" s="1">
        <v>0</v>
      </c>
      <c r="F8" s="1">
        <v>0</v>
      </c>
      <c r="G8" s="1">
        <v>0</v>
      </c>
    </row>
    <row r="9" spans="1:7" x14ac:dyDescent="0.25">
      <c r="A9" t="s">
        <v>18</v>
      </c>
      <c r="B9" t="s">
        <v>26</v>
      </c>
      <c r="C9" s="1">
        <v>2601.5</v>
      </c>
      <c r="D9" s="1">
        <v>3401.69</v>
      </c>
      <c r="E9" s="1">
        <v>3353.25</v>
      </c>
      <c r="F9" s="1">
        <v>0</v>
      </c>
      <c r="G9" s="1">
        <v>2000</v>
      </c>
    </row>
    <row r="10" spans="1:7" x14ac:dyDescent="0.25">
      <c r="A10" t="s">
        <v>18</v>
      </c>
      <c r="B10" t="s">
        <v>27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</row>
    <row r="11" spans="1:7" x14ac:dyDescent="0.25">
      <c r="A11" t="s">
        <v>18</v>
      </c>
      <c r="B11" t="s">
        <v>28</v>
      </c>
      <c r="C11" s="1">
        <v>-309.07</v>
      </c>
      <c r="D11" s="1">
        <v>0</v>
      </c>
      <c r="E11" s="1">
        <v>2565.9299999999998</v>
      </c>
      <c r="F11" s="1">
        <v>0</v>
      </c>
      <c r="G11" s="1">
        <v>2000</v>
      </c>
    </row>
    <row r="12" spans="1:7" x14ac:dyDescent="0.25">
      <c r="A12" t="s">
        <v>18</v>
      </c>
      <c r="B12" t="s">
        <v>29</v>
      </c>
      <c r="C12" s="1">
        <v>0</v>
      </c>
      <c r="D12" s="1">
        <v>0</v>
      </c>
      <c r="E12" s="1">
        <v>0</v>
      </c>
      <c r="F12" s="1">
        <v>0</v>
      </c>
      <c r="G12" s="1">
        <v>500</v>
      </c>
    </row>
    <row r="13" spans="1:7" x14ac:dyDescent="0.25">
      <c r="A13" t="s">
        <v>18</v>
      </c>
      <c r="B13" t="s">
        <v>30</v>
      </c>
      <c r="C13" s="1">
        <v>1314.1</v>
      </c>
      <c r="D13" s="1">
        <v>66.680000000000007</v>
      </c>
      <c r="E13" s="1">
        <v>351.48</v>
      </c>
      <c r="F13" s="1">
        <v>0</v>
      </c>
      <c r="G13" s="1">
        <v>1000</v>
      </c>
    </row>
    <row r="14" spans="1:7" x14ac:dyDescent="0.25">
      <c r="A14" t="s">
        <v>18</v>
      </c>
      <c r="B14" t="s">
        <v>31</v>
      </c>
      <c r="C14" s="1">
        <v>0</v>
      </c>
      <c r="D14" s="1">
        <v>0</v>
      </c>
      <c r="E14" s="1">
        <v>0</v>
      </c>
      <c r="F14" s="1">
        <v>0</v>
      </c>
      <c r="G14" s="1">
        <v>2000</v>
      </c>
    </row>
    <row r="15" spans="1:7" x14ac:dyDescent="0.25">
      <c r="A15" t="s">
        <v>18</v>
      </c>
      <c r="B15" t="s">
        <v>32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</row>
    <row r="16" spans="1:7" x14ac:dyDescent="0.25">
      <c r="A16" t="s">
        <v>18</v>
      </c>
      <c r="B16" t="s">
        <v>33</v>
      </c>
      <c r="C16" s="1">
        <v>350.18</v>
      </c>
      <c r="D16" s="1">
        <v>-5874.77</v>
      </c>
      <c r="E16" s="1">
        <v>2807.2</v>
      </c>
      <c r="F16" s="1">
        <v>0</v>
      </c>
      <c r="G16" s="1">
        <v>500</v>
      </c>
    </row>
    <row r="17" spans="1:7" x14ac:dyDescent="0.25">
      <c r="A17" t="s">
        <v>18</v>
      </c>
      <c r="B17" t="s">
        <v>34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</row>
    <row r="18" spans="1:7" x14ac:dyDescent="0.25">
      <c r="A18" t="s">
        <v>18</v>
      </c>
      <c r="B18" t="s">
        <v>35</v>
      </c>
      <c r="C18" s="1">
        <v>0</v>
      </c>
      <c r="D18" s="1">
        <v>0</v>
      </c>
      <c r="E18" s="1">
        <v>0</v>
      </c>
      <c r="F18" s="1">
        <v>0</v>
      </c>
      <c r="G18" s="1">
        <v>1000</v>
      </c>
    </row>
    <row r="19" spans="1:7" x14ac:dyDescent="0.25">
      <c r="A19" t="s">
        <v>18</v>
      </c>
      <c r="B19" t="s">
        <v>36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</row>
    <row r="20" spans="1:7" x14ac:dyDescent="0.25">
      <c r="A20" t="s">
        <v>18</v>
      </c>
      <c r="B20" t="s">
        <v>37</v>
      </c>
      <c r="C20" s="1">
        <v>0</v>
      </c>
      <c r="D20" s="1">
        <v>0</v>
      </c>
      <c r="E20" s="1">
        <v>937.86</v>
      </c>
      <c r="F20" s="1">
        <v>0</v>
      </c>
      <c r="G20" s="1">
        <v>4000</v>
      </c>
    </row>
    <row r="21" spans="1:7" x14ac:dyDescent="0.25">
      <c r="A21" t="s">
        <v>18</v>
      </c>
      <c r="B21" t="s">
        <v>38</v>
      </c>
      <c r="C21" s="1">
        <v>12049.42</v>
      </c>
      <c r="D21" s="1">
        <v>3779.22</v>
      </c>
      <c r="E21" s="1">
        <v>7518.26</v>
      </c>
      <c r="F21" s="1">
        <v>394.76</v>
      </c>
      <c r="G21" s="1">
        <v>3500</v>
      </c>
    </row>
    <row r="22" spans="1:7" x14ac:dyDescent="0.25">
      <c r="A22" t="s">
        <v>18</v>
      </c>
      <c r="B22" t="s">
        <v>39</v>
      </c>
      <c r="C22" s="1">
        <v>5015.3599999999997</v>
      </c>
      <c r="D22" s="1">
        <v>0</v>
      </c>
      <c r="E22" s="1">
        <v>183.62</v>
      </c>
      <c r="F22" s="1">
        <v>0</v>
      </c>
      <c r="G22" s="1">
        <v>0</v>
      </c>
    </row>
    <row r="23" spans="1:7" x14ac:dyDescent="0.25">
      <c r="A23" t="s">
        <v>18</v>
      </c>
      <c r="B23" t="s">
        <v>40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</row>
    <row r="24" spans="1:7" x14ac:dyDescent="0.25">
      <c r="A24" t="s">
        <v>18</v>
      </c>
      <c r="B24" t="s">
        <v>41</v>
      </c>
      <c r="C24" s="1">
        <v>5179.53</v>
      </c>
      <c r="D24" s="1">
        <v>366.34</v>
      </c>
      <c r="E24" s="1">
        <v>44.06</v>
      </c>
      <c r="F24" s="1">
        <v>73.91</v>
      </c>
      <c r="G24" s="1">
        <v>700</v>
      </c>
    </row>
    <row r="25" spans="1:7" x14ac:dyDescent="0.25">
      <c r="A25" t="s">
        <v>18</v>
      </c>
      <c r="B25" t="s">
        <v>42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</row>
    <row r="26" spans="1:7" x14ac:dyDescent="0.25">
      <c r="A26" t="s">
        <v>18</v>
      </c>
      <c r="B26" t="s">
        <v>43</v>
      </c>
      <c r="C26" s="1">
        <v>0</v>
      </c>
      <c r="D26" s="1">
        <v>0</v>
      </c>
      <c r="E26" s="1">
        <v>44.1</v>
      </c>
      <c r="F26" s="1">
        <v>0</v>
      </c>
      <c r="G26" s="1">
        <v>0</v>
      </c>
    </row>
    <row r="27" spans="1:7" x14ac:dyDescent="0.25">
      <c r="A27" t="s">
        <v>18</v>
      </c>
      <c r="B27" t="s">
        <v>44</v>
      </c>
      <c r="C27" s="1">
        <v>6777.81</v>
      </c>
      <c r="D27" s="1">
        <v>0</v>
      </c>
      <c r="E27" s="1">
        <v>73.510000000000005</v>
      </c>
      <c r="F27" s="1">
        <v>0</v>
      </c>
      <c r="G27" s="1">
        <v>1000</v>
      </c>
    </row>
    <row r="28" spans="1:7" x14ac:dyDescent="0.25">
      <c r="A28" t="s">
        <v>18</v>
      </c>
      <c r="B28" t="s">
        <v>45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</row>
    <row r="29" spans="1:7" x14ac:dyDescent="0.25">
      <c r="A29" t="s">
        <v>18</v>
      </c>
      <c r="B29" t="s">
        <v>46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</row>
    <row r="30" spans="1:7" x14ac:dyDescent="0.25">
      <c r="A30" t="s">
        <v>18</v>
      </c>
      <c r="B30" t="s">
        <v>47</v>
      </c>
      <c r="C30" s="1">
        <v>259.58</v>
      </c>
      <c r="D30" s="1">
        <v>998.1</v>
      </c>
      <c r="E30" s="1">
        <v>567.66999999999996</v>
      </c>
      <c r="F30" s="1">
        <v>0</v>
      </c>
      <c r="G30" s="1">
        <v>500</v>
      </c>
    </row>
    <row r="31" spans="1:7" x14ac:dyDescent="0.25">
      <c r="A31" t="s">
        <v>18</v>
      </c>
      <c r="B31" t="s">
        <v>48</v>
      </c>
      <c r="C31" s="1">
        <v>0</v>
      </c>
      <c r="D31" s="1">
        <v>0</v>
      </c>
      <c r="E31" s="1">
        <v>0</v>
      </c>
      <c r="F31" s="1">
        <v>0</v>
      </c>
      <c r="G31" s="1">
        <v>2000</v>
      </c>
    </row>
    <row r="32" spans="1:7" x14ac:dyDescent="0.25">
      <c r="A32" t="s">
        <v>18</v>
      </c>
      <c r="B32" t="s">
        <v>49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</row>
    <row r="33" spans="1:7" x14ac:dyDescent="0.25">
      <c r="A33" t="s">
        <v>18</v>
      </c>
      <c r="B33" t="s">
        <v>50</v>
      </c>
      <c r="C33" s="1">
        <v>2536.39</v>
      </c>
      <c r="D33" s="1">
        <v>557.55999999999995</v>
      </c>
      <c r="E33" s="1">
        <v>0</v>
      </c>
      <c r="F33" s="1">
        <v>0</v>
      </c>
      <c r="G33" s="1">
        <v>500</v>
      </c>
    </row>
    <row r="34" spans="1:7" x14ac:dyDescent="0.25">
      <c r="A34" t="s">
        <v>18</v>
      </c>
      <c r="B34" t="s">
        <v>51</v>
      </c>
      <c r="C34" s="1">
        <v>0</v>
      </c>
      <c r="D34" s="1">
        <v>59.02</v>
      </c>
      <c r="E34" s="1">
        <v>1676.04</v>
      </c>
      <c r="F34" s="1">
        <v>0</v>
      </c>
      <c r="G34" s="1">
        <v>1500</v>
      </c>
    </row>
    <row r="35" spans="1:7" x14ac:dyDescent="0.25">
      <c r="A35" t="s">
        <v>18</v>
      </c>
      <c r="B35" t="s">
        <v>52</v>
      </c>
      <c r="C35" s="1">
        <v>0</v>
      </c>
      <c r="D35" s="1">
        <v>2350.86</v>
      </c>
      <c r="E35" s="1">
        <v>0</v>
      </c>
      <c r="F35" s="1">
        <v>0</v>
      </c>
      <c r="G35" s="1">
        <v>0</v>
      </c>
    </row>
    <row r="36" spans="1:7" x14ac:dyDescent="0.25">
      <c r="A36" t="s">
        <v>18</v>
      </c>
      <c r="B36" t="s">
        <v>53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</row>
    <row r="37" spans="1:7" x14ac:dyDescent="0.25">
      <c r="A37" t="s">
        <v>18</v>
      </c>
      <c r="B37" t="s">
        <v>54</v>
      </c>
      <c r="C37" s="1">
        <v>1758.38</v>
      </c>
      <c r="D37" s="1">
        <v>0</v>
      </c>
      <c r="E37" s="1">
        <v>220.32</v>
      </c>
      <c r="F37" s="1">
        <v>0</v>
      </c>
      <c r="G37" s="1">
        <v>1500</v>
      </c>
    </row>
    <row r="38" spans="1:7" x14ac:dyDescent="0.25">
      <c r="C38" s="3">
        <v>45382.31</v>
      </c>
      <c r="D38" s="3">
        <v>8271.2799999999988</v>
      </c>
      <c r="E38" s="3">
        <v>25148.04</v>
      </c>
      <c r="F38" s="3">
        <v>611.23</v>
      </c>
      <c r="G38" s="3">
        <f>SUM(G2:G37)</f>
        <v>29700</v>
      </c>
    </row>
    <row r="39" spans="1:7" x14ac:dyDescent="0.25">
      <c r="G39" s="1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workbookViewId="0"/>
  </sheetViews>
  <sheetFormatPr baseColWidth="10" defaultColWidth="9.140625" defaultRowHeight="15" x14ac:dyDescent="0.25"/>
  <cols>
    <col min="1" max="1" width="34" customWidth="1"/>
    <col min="2" max="3" width="22" customWidth="1"/>
    <col min="4" max="4" width="13" customWidth="1"/>
    <col min="5" max="6" width="24" customWidth="1"/>
  </cols>
  <sheetData>
    <row r="1" spans="1:6" x14ac:dyDescent="0.25">
      <c r="A1" s="4" t="s">
        <v>0</v>
      </c>
      <c r="B1" s="4" t="s">
        <v>63</v>
      </c>
      <c r="C1" s="4" t="s">
        <v>62</v>
      </c>
      <c r="D1" s="4" t="s">
        <v>64</v>
      </c>
      <c r="E1" s="4" t="s">
        <v>65</v>
      </c>
      <c r="F1" s="4" t="s">
        <v>66</v>
      </c>
    </row>
    <row r="2" spans="1:6" x14ac:dyDescent="0.25">
      <c r="A2" t="s">
        <v>18</v>
      </c>
      <c r="B2" t="s">
        <v>2</v>
      </c>
      <c r="C2" s="1">
        <v>129.6</v>
      </c>
      <c r="D2" s="1">
        <v>0</v>
      </c>
      <c r="E2" s="1">
        <v>129.6</v>
      </c>
      <c r="F2" s="5">
        <v>0</v>
      </c>
    </row>
    <row r="3" spans="1:6" x14ac:dyDescent="0.25">
      <c r="A3" t="s">
        <v>18</v>
      </c>
      <c r="B3" t="s">
        <v>3</v>
      </c>
      <c r="C3" s="1">
        <v>3592.51</v>
      </c>
      <c r="D3" s="1">
        <v>2317.2600000000002</v>
      </c>
      <c r="E3" s="1">
        <v>1275.25</v>
      </c>
      <c r="F3" s="5">
        <v>0.64502534439709291</v>
      </c>
    </row>
    <row r="4" spans="1:6" x14ac:dyDescent="0.25">
      <c r="A4" t="s">
        <v>18</v>
      </c>
      <c r="B4" t="s">
        <v>4</v>
      </c>
      <c r="C4" s="1">
        <v>207.39</v>
      </c>
      <c r="D4" s="1">
        <v>0</v>
      </c>
      <c r="E4" s="1">
        <v>207.39</v>
      </c>
      <c r="F4" s="5">
        <v>0</v>
      </c>
    </row>
    <row r="5" spans="1:6" x14ac:dyDescent="0.25">
      <c r="A5" t="s">
        <v>18</v>
      </c>
      <c r="B5" t="s">
        <v>6</v>
      </c>
      <c r="C5" s="1">
        <v>86.41</v>
      </c>
      <c r="D5" s="1">
        <v>0</v>
      </c>
      <c r="E5" s="1">
        <v>86.41</v>
      </c>
      <c r="F5" s="5">
        <v>0</v>
      </c>
    </row>
    <row r="6" spans="1:6" x14ac:dyDescent="0.25">
      <c r="A6" t="s">
        <v>18</v>
      </c>
      <c r="B6" t="s">
        <v>7</v>
      </c>
      <c r="C6" s="1">
        <v>660.6</v>
      </c>
      <c r="D6" s="1">
        <v>1445.4</v>
      </c>
      <c r="E6" s="1">
        <v>-784.80000000000007</v>
      </c>
      <c r="F6" s="5">
        <v>2.188010899182562</v>
      </c>
    </row>
    <row r="7" spans="1:6" x14ac:dyDescent="0.25">
      <c r="A7" t="s">
        <v>18</v>
      </c>
      <c r="B7" t="s">
        <v>8</v>
      </c>
      <c r="C7" s="1">
        <v>93.9</v>
      </c>
      <c r="D7" s="1">
        <v>675.9</v>
      </c>
      <c r="E7" s="1">
        <v>-582</v>
      </c>
      <c r="F7" s="5">
        <v>7.198083067092651</v>
      </c>
    </row>
    <row r="8" spans="1:6" x14ac:dyDescent="0.25">
      <c r="A8" t="s">
        <v>18</v>
      </c>
      <c r="B8" t="s">
        <v>15</v>
      </c>
      <c r="C8" s="1">
        <v>350</v>
      </c>
      <c r="D8" s="1">
        <v>0</v>
      </c>
      <c r="E8" s="1">
        <v>350</v>
      </c>
      <c r="F8" s="5">
        <v>0</v>
      </c>
    </row>
    <row r="9" spans="1:6" x14ac:dyDescent="0.25">
      <c r="A9" t="s">
        <v>18</v>
      </c>
      <c r="B9" t="s">
        <v>67</v>
      </c>
      <c r="C9" s="1">
        <v>0</v>
      </c>
      <c r="D9" s="1">
        <v>0</v>
      </c>
      <c r="E9" s="1">
        <v>0</v>
      </c>
      <c r="F9" s="5">
        <v>0</v>
      </c>
    </row>
    <row r="10" spans="1:6" x14ac:dyDescent="0.25">
      <c r="A10" t="s">
        <v>18</v>
      </c>
      <c r="B10" t="s">
        <v>10</v>
      </c>
      <c r="C10" s="1">
        <v>388.10798353439202</v>
      </c>
      <c r="D10" s="1">
        <v>0</v>
      </c>
      <c r="E10" s="1">
        <v>388.10798353439202</v>
      </c>
      <c r="F10" s="5">
        <v>0</v>
      </c>
    </row>
    <row r="11" spans="1:6" x14ac:dyDescent="0.25">
      <c r="A11" t="s">
        <v>18</v>
      </c>
      <c r="B11" t="s">
        <v>11</v>
      </c>
      <c r="C11" s="1">
        <v>3446</v>
      </c>
      <c r="D11" s="1">
        <v>501.51</v>
      </c>
      <c r="E11" s="1">
        <v>2944.49</v>
      </c>
      <c r="F11" s="5">
        <v>0.14553395240858971</v>
      </c>
    </row>
    <row r="12" spans="1:6" x14ac:dyDescent="0.25">
      <c r="A12" t="s">
        <v>18</v>
      </c>
      <c r="B12" t="s">
        <v>12</v>
      </c>
      <c r="C12" s="1">
        <v>31214</v>
      </c>
      <c r="D12" s="1">
        <v>4301.08</v>
      </c>
      <c r="E12" s="1">
        <v>26912.92</v>
      </c>
      <c r="F12" s="5">
        <v>0.13779329787915681</v>
      </c>
    </row>
    <row r="13" spans="1:6" x14ac:dyDescent="0.25">
      <c r="A13" t="s">
        <v>18</v>
      </c>
      <c r="B13" t="s">
        <v>13</v>
      </c>
      <c r="C13" s="1">
        <v>111.043665120341</v>
      </c>
      <c r="D13" s="1">
        <v>0</v>
      </c>
      <c r="E13" s="1">
        <v>111.043665120341</v>
      </c>
      <c r="F13" s="5">
        <v>0</v>
      </c>
    </row>
    <row r="14" spans="1:6" x14ac:dyDescent="0.25">
      <c r="B14" s="6" t="s">
        <v>68</v>
      </c>
      <c r="C14" s="1">
        <v>40279.56164865473</v>
      </c>
      <c r="D14" s="1">
        <v>9241.1500000000015</v>
      </c>
      <c r="E14" s="1">
        <v>31038.411648654728</v>
      </c>
      <c r="F14" s="5">
        <v>0.22942528721160099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VENTAS POR GRUPO</vt:lpstr>
      <vt:lpstr>VENTA MENSUAL</vt:lpstr>
      <vt:lpstr>CUMPLIMIENTO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Sophy</cp:lastModifiedBy>
  <dcterms:created xsi:type="dcterms:W3CDTF">2025-05-16T20:33:48Z</dcterms:created>
  <dcterms:modified xsi:type="dcterms:W3CDTF">2026-02-04T14:24:45Z</dcterms:modified>
</cp:coreProperties>
</file>